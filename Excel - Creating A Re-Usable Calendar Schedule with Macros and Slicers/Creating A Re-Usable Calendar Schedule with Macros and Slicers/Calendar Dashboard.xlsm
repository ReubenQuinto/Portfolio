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codeName="ThisWorkbook" hidePivotFieldList="1"/>
  <mc:AlternateContent xmlns:mc="http://schemas.openxmlformats.org/markup-compatibility/2006">
    <mc:Choice Requires="x15">
      <x15ac:absPath xmlns:x15ac="http://schemas.microsoft.com/office/spreadsheetml/2010/11/ac" url="C:\Users\Reube\Desktop\Projects\Portfolio (GitHub)\Excel - Creating A Re-Usable Calendar Schedule with Macros and Slicers\Creating A Re-Usable Calendar Schedule with Macros and Slicers\"/>
    </mc:Choice>
  </mc:AlternateContent>
  <xr:revisionPtr revIDLastSave="0" documentId="13_ncr:1_{EEFE8567-4088-400C-BAD1-8DDE185AF0B0}" xr6:coauthVersionLast="43" xr6:coauthVersionMax="43" xr10:uidLastSave="{00000000-0000-0000-0000-000000000000}"/>
  <bookViews>
    <workbookView xWindow="-103" yWindow="-103" windowWidth="22149" windowHeight="12549" tabRatio="864" xr2:uid="{00000000-000D-0000-FFFF-FFFF00000000}"/>
  </bookViews>
  <sheets>
    <sheet name="Calendar Dashboard" sheetId="21" r:id="rId1"/>
    <sheet name="Formula Breakdown" sheetId="24" r:id="rId2"/>
    <sheet name="Macros" sheetId="26" r:id="rId3"/>
    <sheet name="Final" sheetId="22" r:id="rId4"/>
    <sheet name="Formula" sheetId="14" r:id="rId5"/>
    <sheet name="Holiday (Dates to Exclude)" sheetId="4" r:id="rId6"/>
  </sheets>
  <externalReferences>
    <externalReference r:id="rId7"/>
  </externalReferences>
  <definedNames>
    <definedName name="_xlnm._FilterDatabase" localSheetId="3" hidden="1">Final!$B$1:$L$4</definedName>
    <definedName name="_xlnm._FilterDatabase" localSheetId="4" hidden="1">Formula!$A$1:$J$6</definedName>
    <definedName name="holi" localSheetId="0">[1]Holiday!$A$1:$A$15</definedName>
    <definedName name="holi">'Holiday (Dates to Exclude)'!$E$2:$E$16</definedName>
    <definedName name="holiday" localSheetId="0">[1]Holiday!$A$4:$A$15</definedName>
    <definedName name="holiday">'Holiday (Dates to Exclude)'!$E$5:$E$16</definedName>
    <definedName name="off">'Holiday (Dates to Exclude)'!$E$5:$E$16</definedName>
    <definedName name="Slicer_Due_date_Slicer">#N/A</definedName>
    <definedName name="Slicer_Owner1">#N/A</definedName>
    <definedName name="Slicer_Project1">#N/A</definedName>
    <definedName name="us">'Holiday (Dates to Exclude)'!$E$2:$E$16</definedName>
  </definedNames>
  <calcPr calcId="191029"/>
  <pivotCaches>
    <pivotCache cacheId="10" r:id="rId8"/>
  </pivotCaches>
  <extLst>
    <ext xmlns:x14="http://schemas.microsoft.com/office/spreadsheetml/2009/9/main" uri="{876F7934-8845-4945-9796-88D515C7AA90}">
      <x14:pivotCaches>
        <pivotCache cacheId="11" r:id="rId9"/>
      </x14:pivotCaches>
    </ex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inal-16d92d05-af29-4269-8bc0-2b4486e439e6" name="Final" connection="Query - Final"/>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74" i="14" l="1" a="1"/>
  <c r="A174" i="14" s="1"/>
  <c r="C30" i="24" l="1"/>
  <c r="D30" i="24" s="1"/>
  <c r="C23" i="24"/>
  <c r="D23" i="24" s="1"/>
  <c r="C19" i="24"/>
  <c r="D19" i="24" s="1"/>
  <c r="C26" i="24"/>
  <c r="D26" i="24" s="1"/>
  <c r="C8" i="24"/>
  <c r="D8" i="24" s="1"/>
  <c r="C16" i="24"/>
  <c r="D16" i="24" s="1"/>
  <c r="C12" i="24"/>
  <c r="D12" i="24" s="1"/>
  <c r="B5" i="24" a="1"/>
  <c r="B5" i="24" s="1"/>
  <c r="L5" i="24" l="1"/>
  <c r="C5" i="24"/>
  <c r="K5" i="24"/>
  <c r="D5" i="24"/>
  <c r="J5" i="24"/>
  <c r="B3" i="21"/>
  <c r="B4" i="22" l="1" a="1"/>
  <c r="B4" i="22" s="1"/>
  <c r="A4" i="22" s="1"/>
  <c r="B2" i="22"/>
  <c r="B27" i="22" a="1"/>
  <c r="B27" i="22" s="1"/>
  <c r="A27" i="22" s="1"/>
  <c r="B26" i="22" a="1"/>
  <c r="B26" i="22" s="1"/>
  <c r="A26" i="22" s="1"/>
  <c r="B25" i="22" a="1"/>
  <c r="B25" i="22" s="1"/>
  <c r="A25" i="22" s="1"/>
  <c r="B24" i="22" a="1"/>
  <c r="B24" i="22" s="1"/>
  <c r="A24" i="22" s="1"/>
  <c r="B231" i="22" l="1"/>
  <c r="A231" i="22" s="1"/>
  <c r="B230" i="22"/>
  <c r="A230" i="22" s="1"/>
  <c r="B229" i="22"/>
  <c r="A229" i="22" s="1"/>
  <c r="B228" i="22"/>
  <c r="A228" i="22" s="1"/>
  <c r="B227" i="22"/>
  <c r="A227" i="22" s="1"/>
  <c r="B226" i="22"/>
  <c r="A226" i="22" s="1"/>
  <c r="B225" i="22"/>
  <c r="A225" i="22" s="1"/>
  <c r="B224" i="22"/>
  <c r="A224" i="22" s="1"/>
  <c r="B223" i="22"/>
  <c r="A223" i="22" s="1"/>
  <c r="B222" i="22"/>
  <c r="A222" i="22" s="1"/>
  <c r="B221" i="22"/>
  <c r="A221" i="22" s="1"/>
  <c r="B220" i="22"/>
  <c r="A220" i="22" s="1"/>
  <c r="B219" i="22" a="1"/>
  <c r="B219" i="22" s="1"/>
  <c r="B218" i="22" a="1"/>
  <c r="B218" i="22" s="1"/>
  <c r="B217" i="22" a="1"/>
  <c r="B217" i="22" s="1"/>
  <c r="B216" i="22" a="1"/>
  <c r="B216" i="22" s="1"/>
  <c r="B215" i="22" a="1"/>
  <c r="B215" i="22" s="1"/>
  <c r="B214" i="22" a="1"/>
  <c r="B214" i="22" s="1"/>
  <c r="B213" i="22" a="1"/>
  <c r="B213" i="22" s="1"/>
  <c r="B212" i="22" a="1"/>
  <c r="B212" i="22" s="1"/>
  <c r="B211" i="22" a="1"/>
  <c r="B211" i="22" s="1"/>
  <c r="B210" i="22" a="1"/>
  <c r="B210" i="22" s="1"/>
  <c r="B209" i="22" a="1"/>
  <c r="B209" i="22" s="1"/>
  <c r="B208" i="22"/>
  <c r="A208" i="22" s="1"/>
  <c r="B207" i="22" a="1"/>
  <c r="B207" i="22" s="1"/>
  <c r="B206" i="22" a="1"/>
  <c r="B206" i="22" s="1"/>
  <c r="B205" i="22" a="1"/>
  <c r="B205" i="22" s="1"/>
  <c r="B204" i="22" a="1"/>
  <c r="B204" i="22" s="1"/>
  <c r="A204" i="22" s="1"/>
  <c r="B203" i="22" a="1"/>
  <c r="B203" i="22" s="1"/>
  <c r="B202" i="22" a="1"/>
  <c r="B202" i="22" s="1"/>
  <c r="B201" i="22" a="1"/>
  <c r="B201" i="22" s="1"/>
  <c r="B200" i="22" a="1"/>
  <c r="B200" i="22" s="1"/>
  <c r="A200" i="22" s="1"/>
  <c r="B199" i="22" a="1"/>
  <c r="B199" i="22" s="1"/>
  <c r="B198" i="22" a="1"/>
  <c r="B198" i="22" s="1"/>
  <c r="B197" i="22" a="1"/>
  <c r="B197" i="22" s="1"/>
  <c r="A197" i="22" s="1"/>
  <c r="B196" i="22"/>
  <c r="B195" i="22" a="1"/>
  <c r="B195" i="22" s="1"/>
  <c r="A195" i="22" s="1"/>
  <c r="B194" i="22" a="1"/>
  <c r="B194" i="22" s="1"/>
  <c r="A194" i="22" s="1"/>
  <c r="B193" i="22" a="1"/>
  <c r="B193" i="22" s="1"/>
  <c r="B192" i="22" a="1"/>
  <c r="B192" i="22" s="1"/>
  <c r="A192" i="22" s="1"/>
  <c r="B191" i="22" a="1"/>
  <c r="B191" i="22" s="1"/>
  <c r="A191" i="22" s="1"/>
  <c r="B190" i="22" a="1"/>
  <c r="B190" i="22" s="1"/>
  <c r="A190" i="22" s="1"/>
  <c r="B189" i="22" a="1"/>
  <c r="B189" i="22" s="1"/>
  <c r="B188" i="22" a="1"/>
  <c r="B188" i="22" s="1"/>
  <c r="A188" i="22" s="1"/>
  <c r="B187" i="22" a="1"/>
  <c r="B187" i="22" s="1"/>
  <c r="A187" i="22" s="1"/>
  <c r="B186" i="22" a="1"/>
  <c r="B186" i="22" s="1"/>
  <c r="A186" i="22" s="1"/>
  <c r="B185" i="22" a="1"/>
  <c r="B185" i="22" s="1"/>
  <c r="B184" i="22"/>
  <c r="B183" i="22" a="1"/>
  <c r="B183" i="22" s="1"/>
  <c r="A183" i="22" s="1"/>
  <c r="B182" i="22" a="1"/>
  <c r="B182" i="22" s="1"/>
  <c r="A182" i="22" s="1"/>
  <c r="B181" i="22" a="1"/>
  <c r="B181" i="22" s="1"/>
  <c r="A181" i="22" s="1"/>
  <c r="B180" i="22" a="1"/>
  <c r="B180" i="22" s="1"/>
  <c r="A180" i="22" s="1"/>
  <c r="B179" i="22" a="1"/>
  <c r="B179" i="22" s="1"/>
  <c r="A179" i="22" s="1"/>
  <c r="B178" i="22" a="1"/>
  <c r="B178" i="22" s="1"/>
  <c r="A178" i="22" s="1"/>
  <c r="B177" i="22" a="1"/>
  <c r="B177" i="22" s="1"/>
  <c r="A177" i="22" s="1"/>
  <c r="B176" i="22" a="1"/>
  <c r="B176" i="22" s="1"/>
  <c r="A176" i="22" s="1"/>
  <c r="B175" i="22" a="1"/>
  <c r="B175" i="22" s="1"/>
  <c r="A175" i="22" s="1"/>
  <c r="B174" i="22" a="1"/>
  <c r="B174" i="22" s="1"/>
  <c r="A174" i="22" s="1"/>
  <c r="B173" i="22" a="1"/>
  <c r="B173" i="22" s="1"/>
  <c r="A173" i="22" s="1"/>
  <c r="B172" i="22"/>
  <c r="D172" i="22" s="1"/>
  <c r="B171" i="22" a="1"/>
  <c r="B171" i="22" s="1"/>
  <c r="A171" i="22" s="1"/>
  <c r="B170" i="22" a="1"/>
  <c r="B170" i="22" s="1"/>
  <c r="A170" i="22" s="1"/>
  <c r="B169" i="22" a="1"/>
  <c r="B169" i="22" s="1"/>
  <c r="A169" i="22" s="1"/>
  <c r="B168" i="22" a="1"/>
  <c r="B168" i="22" s="1"/>
  <c r="A168" i="22" s="1"/>
  <c r="B167" i="22" a="1"/>
  <c r="B167" i="22" s="1"/>
  <c r="A167" i="22" s="1"/>
  <c r="B166" i="22" a="1"/>
  <c r="B166" i="22" s="1"/>
  <c r="A166" i="22" s="1"/>
  <c r="B165" i="22" a="1"/>
  <c r="B165" i="22" s="1"/>
  <c r="A165" i="22" s="1"/>
  <c r="B164" i="22" a="1"/>
  <c r="B164" i="22" s="1"/>
  <c r="A164" i="22" s="1"/>
  <c r="B163" i="22" a="1"/>
  <c r="B163" i="22" s="1"/>
  <c r="A163" i="22" s="1"/>
  <c r="B162" i="22" a="1"/>
  <c r="B162" i="22" s="1"/>
  <c r="A162" i="22" s="1"/>
  <c r="B161" i="22" a="1"/>
  <c r="B161" i="22" s="1"/>
  <c r="A161" i="22" s="1"/>
  <c r="B160" i="22"/>
  <c r="J160" i="22" s="1"/>
  <c r="B159" i="22" a="1"/>
  <c r="B159" i="22" s="1"/>
  <c r="A159" i="22" s="1"/>
  <c r="B158" i="22" a="1"/>
  <c r="B158" i="22" s="1"/>
  <c r="A158" i="22" s="1"/>
  <c r="B157" i="22" a="1"/>
  <c r="B157" i="22" s="1"/>
  <c r="A157" i="22" s="1"/>
  <c r="B156" i="22" a="1"/>
  <c r="B156" i="22" s="1"/>
  <c r="B155" i="22" a="1"/>
  <c r="B155" i="22" s="1"/>
  <c r="A155" i="22" s="1"/>
  <c r="B154" i="22" a="1"/>
  <c r="B154" i="22" s="1"/>
  <c r="A154" i="22" s="1"/>
  <c r="B153" i="22" a="1"/>
  <c r="B153" i="22" s="1"/>
  <c r="A153" i="22" s="1"/>
  <c r="B152" i="22" a="1"/>
  <c r="B152" i="22" s="1"/>
  <c r="A152" i="22" s="1"/>
  <c r="B151" i="22" a="1"/>
  <c r="B151" i="22" s="1"/>
  <c r="A151" i="22" s="1"/>
  <c r="B150" i="22" a="1"/>
  <c r="B150" i="22" s="1"/>
  <c r="A150" i="22" s="1"/>
  <c r="B149" i="22" a="1"/>
  <c r="B149" i="22" s="1"/>
  <c r="A149" i="22" s="1"/>
  <c r="B148" i="22"/>
  <c r="C148" i="22" s="1"/>
  <c r="B147" i="22"/>
  <c r="D147" i="22" s="1"/>
  <c r="B146" i="22"/>
  <c r="D146" i="22" s="1"/>
  <c r="B145" i="22"/>
  <c r="H145" i="22" s="1"/>
  <c r="B144" i="22"/>
  <c r="D144" i="22" s="1"/>
  <c r="B143" i="22"/>
  <c r="A143" i="22" s="1"/>
  <c r="B142" i="22"/>
  <c r="B141" i="22"/>
  <c r="A141" i="22" s="1"/>
  <c r="B140" i="22"/>
  <c r="C140" i="22" s="1"/>
  <c r="B139" i="22"/>
  <c r="D139" i="22" s="1"/>
  <c r="B138" i="22"/>
  <c r="C138" i="22" s="1"/>
  <c r="B137" i="22"/>
  <c r="C137" i="22" s="1"/>
  <c r="B136" i="22"/>
  <c r="D136" i="22" s="1"/>
  <c r="B135" i="22" a="1"/>
  <c r="B135" i="22" s="1"/>
  <c r="A135" i="22" s="1"/>
  <c r="B134" i="22" a="1"/>
  <c r="B134" i="22" s="1"/>
  <c r="A134" i="22" s="1"/>
  <c r="B133" i="22" a="1"/>
  <c r="B133" i="22" s="1"/>
  <c r="A133" i="22" s="1"/>
  <c r="B132" i="22" a="1"/>
  <c r="B132" i="22" s="1"/>
  <c r="A132" i="22" s="1"/>
  <c r="B131" i="22" a="1"/>
  <c r="B131" i="22" s="1"/>
  <c r="J131" i="22" s="1"/>
  <c r="B130" i="22" a="1"/>
  <c r="B130" i="22" s="1"/>
  <c r="A130" i="22" s="1"/>
  <c r="B129" i="22" a="1"/>
  <c r="B129" i="22" s="1"/>
  <c r="A129" i="22" s="1"/>
  <c r="B128" i="22" a="1"/>
  <c r="B128" i="22" s="1"/>
  <c r="A128" i="22" s="1"/>
  <c r="B127" i="22" a="1"/>
  <c r="B127" i="22" s="1"/>
  <c r="B126" i="22" a="1"/>
  <c r="B126" i="22" s="1"/>
  <c r="A126" i="22" s="1"/>
  <c r="B125" i="22" a="1"/>
  <c r="B125" i="22" s="1"/>
  <c r="A125" i="22" s="1"/>
  <c r="B124" i="22"/>
  <c r="J124" i="22" s="1"/>
  <c r="B123" i="22" a="1"/>
  <c r="B123" i="22" s="1"/>
  <c r="A123" i="22" s="1"/>
  <c r="B122" i="22" a="1"/>
  <c r="B122" i="22" s="1"/>
  <c r="A122" i="22" s="1"/>
  <c r="B121" i="22" a="1"/>
  <c r="B121" i="22" s="1"/>
  <c r="A121" i="22" s="1"/>
  <c r="B120" i="22" a="1"/>
  <c r="B120" i="22" s="1"/>
  <c r="J120" i="22" s="1"/>
  <c r="B119" i="22" a="1"/>
  <c r="B119" i="22" s="1"/>
  <c r="A119" i="22" s="1"/>
  <c r="B118" i="22" a="1"/>
  <c r="B118" i="22" s="1"/>
  <c r="A118" i="22" s="1"/>
  <c r="B117" i="22" a="1"/>
  <c r="B117" i="22" s="1"/>
  <c r="A117" i="22" s="1"/>
  <c r="B116" i="22" a="1"/>
  <c r="B116" i="22" s="1"/>
  <c r="B115" i="22" a="1"/>
  <c r="B115" i="22" s="1"/>
  <c r="A115" i="22" s="1"/>
  <c r="B114" i="22" a="1"/>
  <c r="B114" i="22" s="1"/>
  <c r="A114" i="22" s="1"/>
  <c r="B113" i="22" a="1"/>
  <c r="B113" i="22" s="1"/>
  <c r="A113" i="22" s="1"/>
  <c r="B112" i="22"/>
  <c r="C112" i="22" s="1"/>
  <c r="B111" i="22" a="1"/>
  <c r="B111" i="22" s="1"/>
  <c r="A111" i="22" s="1"/>
  <c r="B110" i="22" a="1"/>
  <c r="B110" i="22" s="1"/>
  <c r="A110" i="22" s="1"/>
  <c r="B109" i="22" a="1"/>
  <c r="B109" i="22" s="1"/>
  <c r="B108" i="22" a="1"/>
  <c r="B108" i="22" s="1"/>
  <c r="B107" i="22" a="1"/>
  <c r="B107" i="22" s="1"/>
  <c r="A107" i="22" s="1"/>
  <c r="B106" i="22" a="1"/>
  <c r="B106" i="22" s="1"/>
  <c r="A106" i="22" s="1"/>
  <c r="B105" i="22" a="1"/>
  <c r="B105" i="22" s="1"/>
  <c r="B104" i="22" a="1"/>
  <c r="B104" i="22" s="1"/>
  <c r="B103" i="22" a="1"/>
  <c r="B103" i="22" s="1"/>
  <c r="A103" i="22" s="1"/>
  <c r="B102" i="22" a="1"/>
  <c r="B102" i="22" s="1"/>
  <c r="A102" i="22" s="1"/>
  <c r="B101" i="22" a="1"/>
  <c r="B101" i="22" s="1"/>
  <c r="J101" i="22" s="1"/>
  <c r="B100" i="22"/>
  <c r="A100" i="22" s="1"/>
  <c r="B99" i="22" a="1"/>
  <c r="B99" i="22" s="1"/>
  <c r="A99" i="22" s="1"/>
  <c r="B98" i="22" a="1"/>
  <c r="B98" i="22" s="1"/>
  <c r="A98" i="22" s="1"/>
  <c r="B97" i="22" a="1"/>
  <c r="B97" i="22" s="1"/>
  <c r="B96" i="22" a="1"/>
  <c r="B96" i="22" s="1"/>
  <c r="A96" i="22" s="1"/>
  <c r="B95" i="22" a="1"/>
  <c r="B95" i="22" s="1"/>
  <c r="A95" i="22" s="1"/>
  <c r="B94" i="22" a="1"/>
  <c r="B94" i="22" s="1"/>
  <c r="A94" i="22" s="1"/>
  <c r="B93" i="22" a="1"/>
  <c r="B93" i="22" s="1"/>
  <c r="B92" i="22" a="1"/>
  <c r="B92" i="22" s="1"/>
  <c r="A92" i="22" s="1"/>
  <c r="B91" i="22" a="1"/>
  <c r="B91" i="22" s="1"/>
  <c r="A91" i="22" s="1"/>
  <c r="B90" i="22" a="1"/>
  <c r="B90" i="22" s="1"/>
  <c r="B89" i="22" a="1"/>
  <c r="B89" i="22" s="1"/>
  <c r="A89" i="22" s="1"/>
  <c r="B88" i="22"/>
  <c r="D88" i="22" s="1"/>
  <c r="B87" i="22" a="1"/>
  <c r="B87" i="22" s="1"/>
  <c r="B86" i="22" a="1"/>
  <c r="B86" i="22" s="1"/>
  <c r="A86" i="22" s="1"/>
  <c r="B85" i="22" a="1"/>
  <c r="B85" i="22" s="1"/>
  <c r="A85" i="22" s="1"/>
  <c r="B84" i="22" a="1"/>
  <c r="B84" i="22" s="1"/>
  <c r="A84" i="22" s="1"/>
  <c r="B83" i="22" a="1"/>
  <c r="B83" i="22" s="1"/>
  <c r="B82" i="22" a="1"/>
  <c r="B82" i="22" s="1"/>
  <c r="A82" i="22" s="1"/>
  <c r="B81" i="22" a="1"/>
  <c r="B81" i="22" s="1"/>
  <c r="A81" i="22" s="1"/>
  <c r="B80" i="22" a="1"/>
  <c r="B80" i="22" s="1"/>
  <c r="A80" i="22" s="1"/>
  <c r="B79" i="22" a="1"/>
  <c r="B79" i="22" s="1"/>
  <c r="B78" i="22" a="1"/>
  <c r="B78" i="22" s="1"/>
  <c r="A78" i="22" s="1"/>
  <c r="B77" i="22" a="1"/>
  <c r="B77" i="22" s="1"/>
  <c r="A77" i="22" s="1"/>
  <c r="B76" i="22"/>
  <c r="J76" i="22" s="1"/>
  <c r="B75" i="22" a="1"/>
  <c r="B75" i="22" s="1"/>
  <c r="A75" i="22" s="1"/>
  <c r="B74" i="22" a="1"/>
  <c r="B74" i="22" s="1"/>
  <c r="A74" i="22" s="1"/>
  <c r="B73" i="22" a="1"/>
  <c r="B73" i="22" s="1"/>
  <c r="A73" i="22" s="1"/>
  <c r="B72" i="22" a="1"/>
  <c r="B72" i="22" s="1"/>
  <c r="B71" i="22" a="1"/>
  <c r="B71" i="22" s="1"/>
  <c r="A71" i="22" s="1"/>
  <c r="B70" i="22" a="1"/>
  <c r="B70" i="22" s="1"/>
  <c r="A70" i="22" s="1"/>
  <c r="B69" i="22" a="1"/>
  <c r="B69" i="22" s="1"/>
  <c r="A69" i="22" s="1"/>
  <c r="B68" i="22" a="1"/>
  <c r="B68" i="22" s="1"/>
  <c r="B67" i="22" a="1"/>
  <c r="B67" i="22" s="1"/>
  <c r="A67" i="22" s="1"/>
  <c r="B66" i="22" a="1"/>
  <c r="B66" i="22" s="1"/>
  <c r="A66" i="22" s="1"/>
  <c r="B65" i="22" a="1"/>
  <c r="B65" i="22" s="1"/>
  <c r="A65" i="22" s="1"/>
  <c r="B64" i="22"/>
  <c r="B63" i="22" a="1"/>
  <c r="B63" i="22" s="1"/>
  <c r="A63" i="22" s="1"/>
  <c r="B62" i="22" a="1"/>
  <c r="B62" i="22" s="1"/>
  <c r="A62" i="22" s="1"/>
  <c r="B61" i="22" a="1"/>
  <c r="B61" i="22" s="1"/>
  <c r="B60" i="22" a="1"/>
  <c r="B60" i="22" s="1"/>
  <c r="A60" i="22" s="1"/>
  <c r="B59" i="22" a="1"/>
  <c r="B59" i="22" s="1"/>
  <c r="B58" i="22" a="1"/>
  <c r="B58" i="22" s="1"/>
  <c r="A58" i="22" s="1"/>
  <c r="B57" i="22" a="1"/>
  <c r="B57" i="22" s="1"/>
  <c r="A57" i="22" s="1"/>
  <c r="B56" i="22" a="1"/>
  <c r="B56" i="22" s="1"/>
  <c r="A56" i="22" s="1"/>
  <c r="B55" i="22" a="1"/>
  <c r="B55" i="22" s="1"/>
  <c r="A55" i="22" s="1"/>
  <c r="B54" i="22" a="1"/>
  <c r="B54" i="22" s="1"/>
  <c r="A54" i="22" s="1"/>
  <c r="B53" i="22" a="1"/>
  <c r="B53" i="22" s="1"/>
  <c r="A53" i="22" s="1"/>
  <c r="B52" i="22"/>
  <c r="H52" i="22" s="1"/>
  <c r="B51" i="22" a="1"/>
  <c r="B51" i="22" s="1"/>
  <c r="A51" i="22" s="1"/>
  <c r="B50" i="22" a="1"/>
  <c r="B50" i="22" s="1"/>
  <c r="A50" i="22" s="1"/>
  <c r="B49" i="22" a="1"/>
  <c r="B49" i="22" s="1"/>
  <c r="H49" i="22" s="1"/>
  <c r="B48" i="22" a="1"/>
  <c r="B48" i="22" s="1"/>
  <c r="A48" i="22" s="1"/>
  <c r="B47" i="22" a="1"/>
  <c r="B47" i="22" s="1"/>
  <c r="B46" i="22" a="1"/>
  <c r="B46" i="22" s="1"/>
  <c r="A46" i="22" s="1"/>
  <c r="B45" i="22" a="1"/>
  <c r="B45" i="22" s="1"/>
  <c r="D45" i="22" s="1"/>
  <c r="B44" i="22" a="1"/>
  <c r="B44" i="22" s="1"/>
  <c r="A44" i="22" s="1"/>
  <c r="B43" i="22" a="1"/>
  <c r="B43" i="22" s="1"/>
  <c r="B42" i="22" a="1"/>
  <c r="B42" i="22" s="1"/>
  <c r="A42" i="22" s="1"/>
  <c r="B41" i="22" a="1"/>
  <c r="B41" i="22" s="1"/>
  <c r="C41" i="22" s="1"/>
  <c r="B40" i="22" a="1"/>
  <c r="B40" i="22" s="1"/>
  <c r="A40" i="22" s="1"/>
  <c r="B39" i="22" a="1"/>
  <c r="B39" i="22" s="1"/>
  <c r="B38" i="22" a="1"/>
  <c r="B38" i="22" s="1"/>
  <c r="A38" i="22" s="1"/>
  <c r="B37" i="22" a="1"/>
  <c r="B37" i="22" s="1"/>
  <c r="H37" i="22" s="1"/>
  <c r="B36" i="22" a="1"/>
  <c r="B36" i="22" s="1"/>
  <c r="A36" i="22" s="1"/>
  <c r="B35" i="22" a="1"/>
  <c r="B35" i="22" s="1"/>
  <c r="B34" i="22" a="1"/>
  <c r="B34" i="22" s="1"/>
  <c r="A34" i="22" s="1"/>
  <c r="B33" i="22" a="1"/>
  <c r="B33" i="22" s="1"/>
  <c r="B32" i="22" a="1"/>
  <c r="B32" i="22" s="1"/>
  <c r="A32" i="22" s="1"/>
  <c r="B31" i="22" a="1"/>
  <c r="B31" i="22" s="1"/>
  <c r="B30" i="22" a="1"/>
  <c r="B30" i="22" s="1"/>
  <c r="A30" i="22" s="1"/>
  <c r="B29" i="22" a="1"/>
  <c r="B29" i="22" s="1"/>
  <c r="A29" i="22" s="1"/>
  <c r="B28" i="22" a="1"/>
  <c r="B28" i="22" s="1"/>
  <c r="A28" i="22" s="1"/>
  <c r="D27" i="22"/>
  <c r="J27" i="22"/>
  <c r="H26" i="22"/>
  <c r="D25" i="22"/>
  <c r="J25" i="22"/>
  <c r="H24" i="22"/>
  <c r="B23" i="22" a="1"/>
  <c r="B23" i="22" s="1"/>
  <c r="B22" i="22" a="1"/>
  <c r="B22" i="22" s="1"/>
  <c r="A22" i="22" s="1"/>
  <c r="B21" i="22" a="1"/>
  <c r="B21" i="22" s="1"/>
  <c r="B20" i="22" a="1"/>
  <c r="B20" i="22" s="1"/>
  <c r="A20" i="22" s="1"/>
  <c r="B19" i="22" a="1"/>
  <c r="B19" i="22" s="1"/>
  <c r="A19" i="22" s="1"/>
  <c r="B18" i="22" a="1"/>
  <c r="B18" i="22" s="1"/>
  <c r="A18" i="22" s="1"/>
  <c r="B17" i="22" a="1"/>
  <c r="B17" i="22" s="1"/>
  <c r="B16" i="22" a="1"/>
  <c r="B16" i="22" s="1"/>
  <c r="A16" i="22" s="1"/>
  <c r="K15" i="22"/>
  <c r="G15" i="22"/>
  <c r="B15" i="22" s="1" a="1"/>
  <c r="B15" i="22" s="1"/>
  <c r="F15" i="22"/>
  <c r="E15" i="22"/>
  <c r="K14" i="22"/>
  <c r="G14" i="22"/>
  <c r="B14" i="22" s="1" a="1"/>
  <c r="B14" i="22" s="1"/>
  <c r="A14" i="22" s="1"/>
  <c r="F14" i="22"/>
  <c r="E14" i="22"/>
  <c r="K13" i="22"/>
  <c r="G13" i="22"/>
  <c r="F13" i="22"/>
  <c r="E13" i="22"/>
  <c r="B13" i="22" a="1"/>
  <c r="B13" i="22" s="1"/>
  <c r="K12" i="22"/>
  <c r="G12" i="22"/>
  <c r="B12" i="22" s="1" a="1"/>
  <c r="B12" i="22" s="1"/>
  <c r="A12" i="22" s="1"/>
  <c r="F12" i="22"/>
  <c r="E12" i="22"/>
  <c r="K11" i="22"/>
  <c r="G11" i="22"/>
  <c r="B11" i="22" s="1" a="1"/>
  <c r="B11" i="22" s="1"/>
  <c r="F11" i="22"/>
  <c r="E11" i="22"/>
  <c r="K10" i="22"/>
  <c r="G10" i="22"/>
  <c r="B10" i="22" s="1" a="1"/>
  <c r="B10" i="22" s="1"/>
  <c r="A10" i="22" s="1"/>
  <c r="F10" i="22"/>
  <c r="E10" i="22"/>
  <c r="K9" i="22"/>
  <c r="G9" i="22"/>
  <c r="B9" i="22" s="1" a="1"/>
  <c r="B9" i="22" s="1"/>
  <c r="A9" i="22" s="1"/>
  <c r="F9" i="22"/>
  <c r="E9" i="22"/>
  <c r="K8" i="22"/>
  <c r="G8" i="22"/>
  <c r="F8" i="22"/>
  <c r="E8" i="22"/>
  <c r="B8" i="22" a="1"/>
  <c r="B8" i="22" s="1"/>
  <c r="A8" i="22" s="1"/>
  <c r="K7" i="22"/>
  <c r="G7" i="22"/>
  <c r="B7" i="22" s="1" a="1"/>
  <c r="B7" i="22" s="1"/>
  <c r="F7" i="22"/>
  <c r="E7" i="22"/>
  <c r="K6" i="22"/>
  <c r="G6" i="22"/>
  <c r="B6" i="22" s="1" a="1"/>
  <c r="B6" i="22" s="1"/>
  <c r="A6" i="22" s="1"/>
  <c r="F6" i="22"/>
  <c r="E6" i="22"/>
  <c r="K5" i="22"/>
  <c r="G5" i="22"/>
  <c r="B5" i="22" s="1" a="1"/>
  <c r="B5" i="22" s="1"/>
  <c r="A5" i="22" s="1"/>
  <c r="F5" i="22"/>
  <c r="E5" i="22"/>
  <c r="A269" i="14"/>
  <c r="G269" i="14" s="1"/>
  <c r="A268" i="14"/>
  <c r="G268" i="14" s="1"/>
  <c r="A267" i="14"/>
  <c r="G267" i="14" s="1"/>
  <c r="A266" i="14"/>
  <c r="I266" i="14" s="1"/>
  <c r="A265" i="14"/>
  <c r="G265" i="14" s="1"/>
  <c r="A264" i="14"/>
  <c r="G264" i="14" s="1"/>
  <c r="A263" i="14"/>
  <c r="G263" i="14" s="1"/>
  <c r="A262" i="14"/>
  <c r="I262" i="14" s="1"/>
  <c r="A261" i="14"/>
  <c r="A260" i="14"/>
  <c r="G260" i="14" s="1"/>
  <c r="A259" i="14"/>
  <c r="G259" i="14" s="1"/>
  <c r="A258" i="14"/>
  <c r="C258" i="14" s="1"/>
  <c r="A255" i="14" a="1"/>
  <c r="A255" i="14" s="1"/>
  <c r="H255" i="14" s="1"/>
  <c r="A254" i="14" a="1"/>
  <c r="A254" i="14" s="1"/>
  <c r="A253" i="14" a="1"/>
  <c r="A253" i="14" s="1"/>
  <c r="C253" i="14" s="1"/>
  <c r="A252" i="14" a="1"/>
  <c r="A252" i="14" s="1"/>
  <c r="A251" i="14" a="1"/>
  <c r="A251" i="14" s="1"/>
  <c r="H251" i="14" s="1"/>
  <c r="A250" i="14" a="1"/>
  <c r="A250" i="14" s="1"/>
  <c r="G250" i="14" s="1"/>
  <c r="A249" i="14" a="1"/>
  <c r="A249" i="14" s="1"/>
  <c r="A248" i="14" a="1"/>
  <c r="A248" i="14" s="1"/>
  <c r="A247" i="14" a="1"/>
  <c r="A247" i="14" s="1"/>
  <c r="A246" i="14" a="1"/>
  <c r="A246" i="14" s="1"/>
  <c r="G246" i="14" s="1"/>
  <c r="A245" i="14" a="1"/>
  <c r="A245" i="14" s="1"/>
  <c r="A244" i="14"/>
  <c r="I244" i="14" s="1"/>
  <c r="A241" i="14" a="1"/>
  <c r="A241" i="14" s="1"/>
  <c r="B241" i="14" s="1"/>
  <c r="A240" i="14" a="1"/>
  <c r="A240" i="14" s="1"/>
  <c r="A239" i="14" a="1"/>
  <c r="A239" i="14" s="1"/>
  <c r="I239" i="14" s="1"/>
  <c r="A238" i="14" a="1"/>
  <c r="A238" i="14" s="1"/>
  <c r="A237" i="14" a="1"/>
  <c r="A237" i="14" s="1"/>
  <c r="A236" i="14" a="1"/>
  <c r="A236" i="14" s="1"/>
  <c r="A235" i="14" a="1"/>
  <c r="A235" i="14" s="1"/>
  <c r="I235" i="14" s="1"/>
  <c r="A234" i="14" a="1"/>
  <c r="A234" i="14" s="1"/>
  <c r="A233" i="14" a="1"/>
  <c r="A233" i="14" s="1"/>
  <c r="A232" i="14" a="1"/>
  <c r="A232" i="14" s="1"/>
  <c r="A231" i="14" a="1"/>
  <c r="A231" i="14" s="1"/>
  <c r="I231" i="14" s="1"/>
  <c r="A230" i="14"/>
  <c r="I230" i="14" s="1"/>
  <c r="A227" i="14" a="1"/>
  <c r="A227" i="14" s="1"/>
  <c r="A226" i="14" a="1"/>
  <c r="A226" i="14" s="1"/>
  <c r="A225" i="14" a="1"/>
  <c r="A225" i="14" s="1"/>
  <c r="A224" i="14" a="1"/>
  <c r="A224" i="14" s="1"/>
  <c r="G224" i="14" s="1"/>
  <c r="A223" i="14" a="1"/>
  <c r="A223" i="14" s="1"/>
  <c r="A222" i="14" a="1"/>
  <c r="A222" i="14" s="1"/>
  <c r="I222" i="14" s="1"/>
  <c r="A221" i="14" a="1"/>
  <c r="A221" i="14" s="1"/>
  <c r="I221" i="14" s="1"/>
  <c r="A220" i="14" a="1"/>
  <c r="A220" i="14" s="1"/>
  <c r="A219" i="14" a="1"/>
  <c r="A219" i="14" s="1"/>
  <c r="G219" i="14" s="1"/>
  <c r="A218" i="14" a="1"/>
  <c r="A218" i="14" s="1"/>
  <c r="I218" i="14" s="1"/>
  <c r="A217" i="14" a="1"/>
  <c r="A217" i="14" s="1"/>
  <c r="B217" i="14" s="1"/>
  <c r="A216" i="14"/>
  <c r="H216" i="14" s="1"/>
  <c r="A213" i="14" a="1"/>
  <c r="A213" i="14" s="1"/>
  <c r="A212" i="14" a="1"/>
  <c r="A212" i="14" s="1"/>
  <c r="B212" i="14" s="1"/>
  <c r="A211" i="14" a="1"/>
  <c r="A211" i="14" s="1"/>
  <c r="H211" i="14" s="1"/>
  <c r="A210" i="14" a="1"/>
  <c r="A210" i="14" s="1"/>
  <c r="G210" i="14" s="1"/>
  <c r="A209" i="14" a="1"/>
  <c r="A209" i="14" s="1"/>
  <c r="I209" i="14" s="1"/>
  <c r="A208" i="14" a="1"/>
  <c r="A208" i="14" s="1"/>
  <c r="I208" i="14" s="1"/>
  <c r="A207" i="14" a="1"/>
  <c r="A207" i="14" s="1"/>
  <c r="A206" i="14" a="1"/>
  <c r="A206" i="14" s="1"/>
  <c r="I206" i="14" s="1"/>
  <c r="A205" i="14" a="1"/>
  <c r="A205" i="14" s="1"/>
  <c r="C205" i="14" s="1"/>
  <c r="A204" i="14" a="1"/>
  <c r="A204" i="14" s="1"/>
  <c r="I204" i="14" s="1"/>
  <c r="A203" i="14" a="1"/>
  <c r="A203" i="14" s="1"/>
  <c r="A202" i="14"/>
  <c r="C202" i="14" s="1"/>
  <c r="A199" i="14" a="1"/>
  <c r="A199" i="14" s="1"/>
  <c r="I199" i="14" s="1"/>
  <c r="A198" i="14" a="1"/>
  <c r="A198" i="14" s="1"/>
  <c r="H198" i="14" s="1"/>
  <c r="A197" i="14" a="1"/>
  <c r="A197" i="14" s="1"/>
  <c r="I197" i="14" s="1"/>
  <c r="A196" i="14" a="1"/>
  <c r="A196" i="14" s="1"/>
  <c r="A195" i="14" a="1"/>
  <c r="A195" i="14" s="1"/>
  <c r="H195" i="14" s="1"/>
  <c r="A194" i="14" a="1"/>
  <c r="A194" i="14" s="1"/>
  <c r="A193" i="14" a="1"/>
  <c r="A193" i="14" s="1"/>
  <c r="C193" i="14" s="1"/>
  <c r="A192" i="14" a="1"/>
  <c r="A192" i="14" s="1"/>
  <c r="A191" i="14" a="1"/>
  <c r="A191" i="14" s="1"/>
  <c r="A190" i="14" a="1"/>
  <c r="A190" i="14" s="1"/>
  <c r="A189" i="14" a="1"/>
  <c r="A189" i="14" s="1"/>
  <c r="I189" i="14" s="1"/>
  <c r="A188" i="14"/>
  <c r="H188" i="14" s="1"/>
  <c r="A185" i="14" a="1"/>
  <c r="A185" i="14" s="1"/>
  <c r="A184" i="14" a="1"/>
  <c r="A184" i="14" s="1"/>
  <c r="I184" i="14" s="1"/>
  <c r="A183" i="14" a="1"/>
  <c r="A183" i="14" s="1"/>
  <c r="A182" i="14" a="1"/>
  <c r="A182" i="14" s="1"/>
  <c r="A181" i="14" a="1"/>
  <c r="A181" i="14" s="1"/>
  <c r="A180" i="14" a="1"/>
  <c r="A180" i="14" s="1"/>
  <c r="I180" i="14" s="1"/>
  <c r="A179" i="14" a="1"/>
  <c r="A179" i="14" s="1"/>
  <c r="A178" i="14" a="1"/>
  <c r="A178" i="14" s="1"/>
  <c r="G178" i="14" s="1"/>
  <c r="A177" i="14" a="1"/>
  <c r="A177" i="14" s="1"/>
  <c r="A176" i="14" a="1"/>
  <c r="A176" i="14" s="1"/>
  <c r="I176" i="14" s="1"/>
  <c r="A175" i="14" a="1"/>
  <c r="A175" i="14" s="1"/>
  <c r="C174" i="14"/>
  <c r="G174" i="14"/>
  <c r="A171" i="14"/>
  <c r="I171" i="14" s="1"/>
  <c r="A170" i="14"/>
  <c r="G170" i="14" s="1"/>
  <c r="A169" i="14"/>
  <c r="I169" i="14" s="1"/>
  <c r="A168" i="14"/>
  <c r="G168" i="14" s="1"/>
  <c r="A167" i="14"/>
  <c r="I167" i="14" s="1"/>
  <c r="A166" i="14"/>
  <c r="G166" i="14" s="1"/>
  <c r="A165" i="14"/>
  <c r="I165" i="14" s="1"/>
  <c r="A164" i="14"/>
  <c r="G164" i="14" s="1"/>
  <c r="A163" i="14"/>
  <c r="I163" i="14" s="1"/>
  <c r="A162" i="14"/>
  <c r="G162" i="14" s="1"/>
  <c r="A161" i="14"/>
  <c r="I161" i="14" s="1"/>
  <c r="A160" i="14"/>
  <c r="G160" i="14" s="1"/>
  <c r="A157" i="14" a="1"/>
  <c r="A157" i="14" s="1"/>
  <c r="I157" i="14" s="1"/>
  <c r="A156" i="14" a="1"/>
  <c r="A156" i="14" s="1"/>
  <c r="A155" i="14" a="1"/>
  <c r="A155" i="14" s="1"/>
  <c r="A154" i="14" a="1"/>
  <c r="A154" i="14" s="1"/>
  <c r="A153" i="14" a="1"/>
  <c r="A153" i="14" s="1"/>
  <c r="I153" i="14" s="1"/>
  <c r="A152" i="14" a="1"/>
  <c r="A152" i="14" s="1"/>
  <c r="A151" i="14" a="1"/>
  <c r="A151" i="14" s="1"/>
  <c r="A150" i="14" a="1"/>
  <c r="A150" i="14" s="1"/>
  <c r="A149" i="14" a="1"/>
  <c r="A149" i="14" s="1"/>
  <c r="A148" i="14" a="1"/>
  <c r="A148" i="14" s="1"/>
  <c r="G148" i="14" s="1"/>
  <c r="A147" i="14" a="1"/>
  <c r="A147" i="14" s="1"/>
  <c r="A146" i="14"/>
  <c r="C146" i="14" s="1"/>
  <c r="A143" i="14" a="1"/>
  <c r="A143" i="14" s="1"/>
  <c r="A142" i="14" a="1"/>
  <c r="A142" i="14" s="1"/>
  <c r="C142" i="14" s="1"/>
  <c r="A141" i="14" a="1"/>
  <c r="A141" i="14" s="1"/>
  <c r="C141" i="14" s="1"/>
  <c r="A140" i="14" a="1"/>
  <c r="A140" i="14" s="1"/>
  <c r="A139" i="14" a="1"/>
  <c r="A139" i="14" s="1"/>
  <c r="A138" i="14" a="1"/>
  <c r="A138" i="14" s="1"/>
  <c r="I138" i="14" s="1"/>
  <c r="A137" i="14" a="1"/>
  <c r="A137" i="14" s="1"/>
  <c r="I137" i="14" s="1"/>
  <c r="A136" i="14" a="1"/>
  <c r="A136" i="14" s="1"/>
  <c r="A135" i="14" a="1"/>
  <c r="A135" i="14" s="1"/>
  <c r="A134" i="14" a="1"/>
  <c r="A134" i="14" s="1"/>
  <c r="I134" i="14" s="1"/>
  <c r="A133" i="14" a="1"/>
  <c r="A133" i="14" s="1"/>
  <c r="I133" i="14" s="1"/>
  <c r="A132" i="14"/>
  <c r="A129" i="14" a="1"/>
  <c r="A129" i="14" s="1"/>
  <c r="I129" i="14" s="1"/>
  <c r="A128" i="14" a="1"/>
  <c r="A128" i="14" s="1"/>
  <c r="I128" i="14" s="1"/>
  <c r="A127" i="14" a="1"/>
  <c r="A127" i="14" s="1"/>
  <c r="A126" i="14" a="1"/>
  <c r="A126" i="14" s="1"/>
  <c r="A125" i="14" a="1"/>
  <c r="A125" i="14" s="1"/>
  <c r="G125" i="14" s="1"/>
  <c r="A124" i="14" a="1"/>
  <c r="A124" i="14" s="1"/>
  <c r="C124" i="14" s="1"/>
  <c r="A123" i="14" a="1"/>
  <c r="A123" i="14" s="1"/>
  <c r="A122" i="14" a="1"/>
  <c r="A122" i="14" s="1"/>
  <c r="A121" i="14" a="1"/>
  <c r="A121" i="14" s="1"/>
  <c r="A120" i="14" a="1"/>
  <c r="A120" i="14" s="1"/>
  <c r="C120" i="14" s="1"/>
  <c r="A119" i="14" a="1"/>
  <c r="A119" i="14" s="1"/>
  <c r="A118" i="14"/>
  <c r="H118" i="14" s="1"/>
  <c r="A115" i="14" a="1"/>
  <c r="A115" i="14" s="1"/>
  <c r="C115" i="14" s="1"/>
  <c r="A114" i="14" a="1"/>
  <c r="A114" i="14" s="1"/>
  <c r="A113" i="14" a="1"/>
  <c r="A113" i="14" s="1"/>
  <c r="A112" i="14" a="1"/>
  <c r="A112" i="14" s="1"/>
  <c r="A111" i="14" a="1"/>
  <c r="A111" i="14" s="1"/>
  <c r="C111" i="14" s="1"/>
  <c r="A110" i="14" a="1"/>
  <c r="A110" i="14" s="1"/>
  <c r="A109" i="14" a="1"/>
  <c r="A109" i="14" s="1"/>
  <c r="A108" i="14" a="1"/>
  <c r="A108" i="14" s="1"/>
  <c r="A107" i="14" a="1"/>
  <c r="A107" i="14" s="1"/>
  <c r="C107" i="14" s="1"/>
  <c r="A106" i="14" a="1"/>
  <c r="A106" i="14" s="1"/>
  <c r="A105" i="14" a="1"/>
  <c r="A105" i="14" s="1"/>
  <c r="A104" i="14"/>
  <c r="G104" i="14" s="1"/>
  <c r="A101" i="14" a="1"/>
  <c r="A101" i="14" s="1"/>
  <c r="A100" i="14" a="1"/>
  <c r="A100" i="14" s="1"/>
  <c r="A99" i="14" a="1"/>
  <c r="A99" i="14" s="1"/>
  <c r="A98" i="14" a="1"/>
  <c r="A98" i="14" s="1"/>
  <c r="C98" i="14" s="1"/>
  <c r="A97" i="14" a="1"/>
  <c r="A97" i="14" s="1"/>
  <c r="A96" i="14" a="1"/>
  <c r="A96" i="14" s="1"/>
  <c r="A95" i="14" a="1"/>
  <c r="A95" i="14" s="1"/>
  <c r="A94" i="14" a="1"/>
  <c r="A94" i="14" s="1"/>
  <c r="C94" i="14" s="1"/>
  <c r="A93" i="14" a="1"/>
  <c r="A93" i="14" s="1"/>
  <c r="A92" i="14" a="1"/>
  <c r="A92" i="14" s="1"/>
  <c r="A91" i="14" a="1"/>
  <c r="A91" i="14" s="1"/>
  <c r="A90" i="14"/>
  <c r="C90" i="14" s="1"/>
  <c r="A87" i="14" a="1"/>
  <c r="A87" i="14" s="1"/>
  <c r="A86" i="14" a="1"/>
  <c r="A86" i="14" s="1"/>
  <c r="G86" i="14" s="1"/>
  <c r="A85" i="14" a="1"/>
  <c r="A85" i="14" s="1"/>
  <c r="C85" i="14" s="1"/>
  <c r="A84" i="14" a="1"/>
  <c r="A84" i="14" s="1"/>
  <c r="A83" i="14" a="1"/>
  <c r="A83" i="14" s="1"/>
  <c r="A82" i="14" a="1"/>
  <c r="A82" i="14" s="1"/>
  <c r="G82" i="14" s="1"/>
  <c r="A81" i="14" a="1"/>
  <c r="A81" i="14" s="1"/>
  <c r="C81" i="14" s="1"/>
  <c r="A80" i="14" a="1"/>
  <c r="A80" i="14" s="1"/>
  <c r="A79" i="14" a="1"/>
  <c r="A79" i="14" s="1"/>
  <c r="A78" i="14" a="1"/>
  <c r="A78" i="14" s="1"/>
  <c r="G78" i="14" s="1"/>
  <c r="A77" i="14" a="1"/>
  <c r="A77" i="14" s="1"/>
  <c r="C77" i="14" s="1"/>
  <c r="A76" i="14"/>
  <c r="I76" i="14" s="1"/>
  <c r="A73" i="14" a="1"/>
  <c r="A73" i="14" s="1"/>
  <c r="G73" i="14" s="1"/>
  <c r="A72" i="14" a="1"/>
  <c r="A72" i="14" s="1"/>
  <c r="C72" i="14" s="1"/>
  <c r="A71" i="14" a="1"/>
  <c r="A71" i="14" s="1"/>
  <c r="A70" i="14" a="1"/>
  <c r="A70" i="14" s="1"/>
  <c r="A69" i="14" a="1"/>
  <c r="A69" i="14" s="1"/>
  <c r="A68" i="14" a="1"/>
  <c r="A68" i="14" s="1"/>
  <c r="C68" i="14" s="1"/>
  <c r="A67" i="14" a="1"/>
  <c r="A67" i="14" s="1"/>
  <c r="A66" i="14" a="1"/>
  <c r="A66" i="14" s="1"/>
  <c r="A65" i="14" a="1"/>
  <c r="A65" i="14" s="1"/>
  <c r="A64" i="14" a="1"/>
  <c r="A64" i="14" s="1"/>
  <c r="C64" i="14" s="1"/>
  <c r="A63" i="14" a="1"/>
  <c r="A63" i="14" s="1"/>
  <c r="A62" i="14"/>
  <c r="H62" i="14" s="1"/>
  <c r="A59" i="14" a="1"/>
  <c r="A59" i="14" s="1"/>
  <c r="C59" i="14" s="1"/>
  <c r="A58" i="14" a="1"/>
  <c r="A58" i="14" s="1"/>
  <c r="A57" i="14" a="1"/>
  <c r="A57" i="14" s="1"/>
  <c r="A56" i="14" a="1"/>
  <c r="A56" i="14" s="1"/>
  <c r="G56" i="14" s="1"/>
  <c r="A55" i="14" a="1"/>
  <c r="A55" i="14" s="1"/>
  <c r="C55" i="14" s="1"/>
  <c r="A54" i="14" a="1"/>
  <c r="A54" i="14" s="1"/>
  <c r="A53" i="14" a="1"/>
  <c r="A53" i="14" s="1"/>
  <c r="A52" i="14" a="1"/>
  <c r="A52" i="14" s="1"/>
  <c r="G52" i="14" s="1"/>
  <c r="A51" i="14" a="1"/>
  <c r="A51" i="14" s="1"/>
  <c r="C51" i="14" s="1"/>
  <c r="A50" i="14" a="1"/>
  <c r="A50" i="14" s="1"/>
  <c r="A49" i="14" a="1"/>
  <c r="A49" i="14" s="1"/>
  <c r="A48" i="14" a="1"/>
  <c r="A48" i="14" s="1"/>
  <c r="A45" i="14" a="1"/>
  <c r="A45" i="14" s="1"/>
  <c r="C45" i="14" s="1"/>
  <c r="A44" i="14" a="1"/>
  <c r="A44" i="14" s="1"/>
  <c r="A43" i="14" a="1"/>
  <c r="A43" i="14" s="1"/>
  <c r="A42" i="14" a="1"/>
  <c r="A42" i="14" s="1"/>
  <c r="A41" i="14" a="1"/>
  <c r="A41" i="14" s="1"/>
  <c r="C41" i="14" s="1"/>
  <c r="A40" i="14" a="1"/>
  <c r="A40" i="14" s="1"/>
  <c r="A39" i="14" a="1"/>
  <c r="A39" i="14" s="1"/>
  <c r="A38" i="14" a="1"/>
  <c r="A38" i="14" s="1"/>
  <c r="A37" i="14" a="1"/>
  <c r="A37" i="14" s="1"/>
  <c r="C37" i="14" s="1"/>
  <c r="A36" i="14" a="1"/>
  <c r="A36" i="14" s="1"/>
  <c r="A35" i="14" a="1"/>
  <c r="A35" i="14" s="1"/>
  <c r="A34" i="14" a="1"/>
  <c r="A34" i="14" s="1"/>
  <c r="A31" i="14"/>
  <c r="A30" i="14"/>
  <c r="H30" i="14" s="1"/>
  <c r="A29" i="14"/>
  <c r="A28" i="14"/>
  <c r="H28" i="14" s="1"/>
  <c r="A27" i="14" a="1"/>
  <c r="A27" i="14" s="1"/>
  <c r="A26" i="14" a="1"/>
  <c r="A26" i="14" s="1"/>
  <c r="A25" i="14" a="1"/>
  <c r="A25" i="14" s="1"/>
  <c r="C25" i="14" s="1"/>
  <c r="A24" i="14" a="1"/>
  <c r="A24" i="14" s="1"/>
  <c r="A23" i="14" a="1"/>
  <c r="A23" i="14" s="1"/>
  <c r="H23" i="14" s="1"/>
  <c r="A22" i="14" a="1"/>
  <c r="A22" i="14" s="1"/>
  <c r="A21" i="14" a="1"/>
  <c r="A21" i="14" s="1"/>
  <c r="C21" i="14" s="1"/>
  <c r="A20" i="14" a="1"/>
  <c r="A20" i="14" s="1"/>
  <c r="J17" i="14"/>
  <c r="F17" i="14"/>
  <c r="A17" i="14" s="1"/>
  <c r="C17" i="14" s="1"/>
  <c r="E17" i="14"/>
  <c r="D17" i="14"/>
  <c r="J16" i="14"/>
  <c r="F16" i="14"/>
  <c r="A16" i="14" s="1" a="1"/>
  <c r="A16" i="14" s="1"/>
  <c r="E16" i="14"/>
  <c r="D16" i="14"/>
  <c r="J15" i="14"/>
  <c r="F15" i="14"/>
  <c r="A15" i="14" s="1" a="1"/>
  <c r="A15" i="14" s="1"/>
  <c r="E15" i="14"/>
  <c r="D15" i="14"/>
  <c r="J14" i="14"/>
  <c r="F14" i="14"/>
  <c r="A14" i="14" s="1" a="1"/>
  <c r="A14" i="14" s="1"/>
  <c r="E14" i="14"/>
  <c r="D14" i="14"/>
  <c r="J13" i="14"/>
  <c r="F13" i="14"/>
  <c r="A13" i="14" s="1" a="1"/>
  <c r="A13" i="14" s="1"/>
  <c r="E13" i="14"/>
  <c r="D13" i="14"/>
  <c r="J12" i="14"/>
  <c r="F12" i="14"/>
  <c r="A12" i="14" s="1" a="1"/>
  <c r="A12" i="14" s="1"/>
  <c r="E12" i="14"/>
  <c r="D12" i="14"/>
  <c r="J11" i="14"/>
  <c r="F11" i="14"/>
  <c r="A11" i="14" s="1" a="1"/>
  <c r="A11" i="14" s="1"/>
  <c r="G11" i="14" s="1"/>
  <c r="E11" i="14"/>
  <c r="D11" i="14"/>
  <c r="J10" i="14"/>
  <c r="F10" i="14"/>
  <c r="A10" i="14" s="1" a="1"/>
  <c r="A10" i="14" s="1"/>
  <c r="E10" i="14"/>
  <c r="D10" i="14"/>
  <c r="J9" i="14"/>
  <c r="F9" i="14"/>
  <c r="A9" i="14" s="1" a="1"/>
  <c r="A9" i="14" s="1"/>
  <c r="E9" i="14"/>
  <c r="D9" i="14"/>
  <c r="J8" i="14"/>
  <c r="F8" i="14"/>
  <c r="A8" i="14" s="1" a="1"/>
  <c r="A8" i="14" s="1"/>
  <c r="E8" i="14"/>
  <c r="D8" i="14"/>
  <c r="J7" i="14"/>
  <c r="F7" i="14"/>
  <c r="A7" i="14" s="1" a="1"/>
  <c r="A7" i="14" s="1"/>
  <c r="E7" i="14"/>
  <c r="D7" i="14"/>
  <c r="A6" i="14" a="1"/>
  <c r="A6" i="14" s="1"/>
  <c r="H6" i="14" s="1"/>
  <c r="F16" i="4"/>
  <c r="F15" i="4"/>
  <c r="F14" i="4"/>
  <c r="F13" i="4"/>
  <c r="F12" i="4"/>
  <c r="F11" i="4"/>
  <c r="F10" i="4"/>
  <c r="F9" i="4"/>
  <c r="F8" i="4"/>
  <c r="F7" i="4"/>
  <c r="F6" i="4"/>
  <c r="F5" i="4"/>
  <c r="D225" i="22" l="1"/>
  <c r="D229" i="22"/>
  <c r="I170" i="14"/>
  <c r="G91" i="14"/>
  <c r="I91" i="14"/>
  <c r="B255" i="14"/>
  <c r="G188" i="14"/>
  <c r="B233" i="14"/>
  <c r="C233" i="14"/>
  <c r="C244" i="14"/>
  <c r="B267" i="14"/>
  <c r="J62" i="22"/>
  <c r="C76" i="14"/>
  <c r="H41" i="22"/>
  <c r="G76" i="14"/>
  <c r="C118" i="14"/>
  <c r="C170" i="14"/>
  <c r="G182" i="14"/>
  <c r="C182" i="14"/>
  <c r="G95" i="14"/>
  <c r="I95" i="14"/>
  <c r="C177" i="14"/>
  <c r="I177" i="14"/>
  <c r="I226" i="14"/>
  <c r="C226" i="14"/>
  <c r="G99" i="14"/>
  <c r="I99" i="14"/>
  <c r="G69" i="14"/>
  <c r="B69" i="14"/>
  <c r="C181" i="14"/>
  <c r="I181" i="14"/>
  <c r="C185" i="14"/>
  <c r="I185" i="14"/>
  <c r="I267" i="14"/>
  <c r="B73" i="14"/>
  <c r="B162" i="14"/>
  <c r="B166" i="14"/>
  <c r="C178" i="14"/>
  <c r="B28" i="14"/>
  <c r="B62" i="14"/>
  <c r="B104" i="14"/>
  <c r="B146" i="14"/>
  <c r="C162" i="14"/>
  <c r="C164" i="14"/>
  <c r="I166" i="14"/>
  <c r="B188" i="14"/>
  <c r="H205" i="14"/>
  <c r="C218" i="14"/>
  <c r="B230" i="14"/>
  <c r="B251" i="14"/>
  <c r="C260" i="14"/>
  <c r="C267" i="14"/>
  <c r="C28" i="14"/>
  <c r="I162" i="14"/>
  <c r="B170" i="14"/>
  <c r="C188" i="14"/>
  <c r="C230" i="14"/>
  <c r="G251" i="14"/>
  <c r="J112" i="22"/>
  <c r="G48" i="14"/>
  <c r="I48" i="14"/>
  <c r="B48" i="14"/>
  <c r="H196" i="14"/>
  <c r="C196" i="14"/>
  <c r="H207" i="14"/>
  <c r="C207" i="14"/>
  <c r="I213" i="14"/>
  <c r="C213" i="14"/>
  <c r="G65" i="14"/>
  <c r="I65" i="14"/>
  <c r="B65" i="14"/>
  <c r="G108" i="14"/>
  <c r="I108" i="14"/>
  <c r="B108" i="14"/>
  <c r="G112" i="14"/>
  <c r="I112" i="14"/>
  <c r="B112" i="14"/>
  <c r="C150" i="14"/>
  <c r="I150" i="14"/>
  <c r="B150" i="14"/>
  <c r="C154" i="14"/>
  <c r="I154" i="14"/>
  <c r="B154" i="14"/>
  <c r="C190" i="14"/>
  <c r="I190" i="14"/>
  <c r="B190" i="14"/>
  <c r="G194" i="14"/>
  <c r="C194" i="14"/>
  <c r="B194" i="14"/>
  <c r="H203" i="14"/>
  <c r="C203" i="14"/>
  <c r="B237" i="14"/>
  <c r="C237" i="14"/>
  <c r="I248" i="14"/>
  <c r="C248" i="14"/>
  <c r="G121" i="14"/>
  <c r="B121" i="14"/>
  <c r="I121" i="14"/>
  <c r="G147" i="14"/>
  <c r="C147" i="14"/>
  <c r="B147" i="14"/>
  <c r="I147" i="14"/>
  <c r="G151" i="14"/>
  <c r="C151" i="14"/>
  <c r="B151" i="14"/>
  <c r="I151" i="14"/>
  <c r="G155" i="14"/>
  <c r="C155" i="14"/>
  <c r="B155" i="14"/>
  <c r="I155" i="14"/>
  <c r="G254" i="14"/>
  <c r="C254" i="14"/>
  <c r="A216" i="22"/>
  <c r="D216" i="22"/>
  <c r="H259" i="14"/>
  <c r="H263" i="14"/>
  <c r="H136" i="22"/>
  <c r="H138" i="22"/>
  <c r="J208" i="22"/>
  <c r="I221" i="22"/>
  <c r="I229" i="22"/>
  <c r="I28" i="14"/>
  <c r="C30" i="14"/>
  <c r="B52" i="14"/>
  <c r="B56" i="14"/>
  <c r="C62" i="14"/>
  <c r="I69" i="14"/>
  <c r="I73" i="14"/>
  <c r="B78" i="14"/>
  <c r="B82" i="14"/>
  <c r="B86" i="14"/>
  <c r="I104" i="14"/>
  <c r="I118" i="14"/>
  <c r="B141" i="14"/>
  <c r="B160" i="14"/>
  <c r="I164" i="14"/>
  <c r="C166" i="14"/>
  <c r="B168" i="14"/>
  <c r="I174" i="14"/>
  <c r="I178" i="14"/>
  <c r="I182" i="14"/>
  <c r="I188" i="14"/>
  <c r="B195" i="14"/>
  <c r="C198" i="14"/>
  <c r="B202" i="14"/>
  <c r="C209" i="14"/>
  <c r="B221" i="14"/>
  <c r="C222" i="14"/>
  <c r="C241" i="14"/>
  <c r="C255" i="14"/>
  <c r="B259" i="14"/>
  <c r="I259" i="14"/>
  <c r="B262" i="14"/>
  <c r="B263" i="14"/>
  <c r="I263" i="14"/>
  <c r="B265" i="14"/>
  <c r="C268" i="14"/>
  <c r="C221" i="22"/>
  <c r="J221" i="22"/>
  <c r="J222" i="22"/>
  <c r="D226" i="22"/>
  <c r="C229" i="22"/>
  <c r="J229" i="22"/>
  <c r="J230" i="22"/>
  <c r="B30" i="14"/>
  <c r="I30" i="14"/>
  <c r="I52" i="14"/>
  <c r="I56" i="14"/>
  <c r="I62" i="14"/>
  <c r="I78" i="14"/>
  <c r="I82" i="14"/>
  <c r="I86" i="14"/>
  <c r="I141" i="14"/>
  <c r="C160" i="14"/>
  <c r="C168" i="14"/>
  <c r="G202" i="14"/>
  <c r="G255" i="14"/>
  <c r="C259" i="14"/>
  <c r="C263" i="14"/>
  <c r="H267" i="14"/>
  <c r="C37" i="22"/>
  <c r="J137" i="22"/>
  <c r="C208" i="22"/>
  <c r="D221" i="22"/>
  <c r="I225" i="22"/>
  <c r="B91" i="14"/>
  <c r="B95" i="14"/>
  <c r="B99" i="14"/>
  <c r="B118" i="14"/>
  <c r="B125" i="14"/>
  <c r="I146" i="14"/>
  <c r="I160" i="14"/>
  <c r="B164" i="14"/>
  <c r="I168" i="14"/>
  <c r="B174" i="14"/>
  <c r="B177" i="14"/>
  <c r="B178" i="14"/>
  <c r="B181" i="14"/>
  <c r="B182" i="14"/>
  <c r="B185" i="14"/>
  <c r="I202" i="14"/>
  <c r="H262" i="14"/>
  <c r="D208" i="22"/>
  <c r="H220" i="22"/>
  <c r="D222" i="22"/>
  <c r="C225" i="22"/>
  <c r="J225" i="22"/>
  <c r="J226" i="22"/>
  <c r="D230" i="22"/>
  <c r="G10" i="14"/>
  <c r="B10" i="14"/>
  <c r="G13" i="14"/>
  <c r="C13" i="14"/>
  <c r="I13" i="14"/>
  <c r="B13" i="14"/>
  <c r="H13" i="14"/>
  <c r="G34" i="14"/>
  <c r="I34" i="14"/>
  <c r="B34" i="14"/>
  <c r="H9" i="14"/>
  <c r="C9" i="14"/>
  <c r="I9" i="14"/>
  <c r="G20" i="14"/>
  <c r="I20" i="14"/>
  <c r="B20" i="14"/>
  <c r="G38" i="14"/>
  <c r="I38" i="14"/>
  <c r="B38" i="14"/>
  <c r="G24" i="14"/>
  <c r="B24" i="14"/>
  <c r="I24" i="14"/>
  <c r="G42" i="14"/>
  <c r="I42" i="14"/>
  <c r="B42" i="14"/>
  <c r="I14" i="14"/>
  <c r="H14" i="14"/>
  <c r="B14" i="14"/>
  <c r="G17" i="14"/>
  <c r="H17" i="14"/>
  <c r="B17" i="14"/>
  <c r="I17" i="14"/>
  <c r="G8" i="14"/>
  <c r="C8" i="14"/>
  <c r="I8" i="14"/>
  <c r="B8" i="14"/>
  <c r="H8" i="14"/>
  <c r="H7" i="14"/>
  <c r="B7" i="14"/>
  <c r="C7" i="14"/>
  <c r="I7" i="14"/>
  <c r="G7" i="14"/>
  <c r="I6" i="14"/>
  <c r="G9" i="14"/>
  <c r="I11" i="14"/>
  <c r="C11" i="14"/>
  <c r="H11" i="14"/>
  <c r="B11" i="14"/>
  <c r="B6" i="14"/>
  <c r="B9" i="14"/>
  <c r="I10" i="14"/>
  <c r="C10" i="14"/>
  <c r="H10" i="14"/>
  <c r="H21" i="14"/>
  <c r="G21" i="14"/>
  <c r="I21" i="14"/>
  <c r="B21" i="14"/>
  <c r="C27" i="14"/>
  <c r="I27" i="14"/>
  <c r="B27" i="14"/>
  <c r="G27" i="14"/>
  <c r="C31" i="14"/>
  <c r="I31" i="14"/>
  <c r="B31" i="14"/>
  <c r="G31" i="14"/>
  <c r="I36" i="14"/>
  <c r="B36" i="14"/>
  <c r="H36" i="14"/>
  <c r="G36" i="14"/>
  <c r="C36" i="14"/>
  <c r="I40" i="14"/>
  <c r="B40" i="14"/>
  <c r="H40" i="14"/>
  <c r="G40" i="14"/>
  <c r="C40" i="14"/>
  <c r="I44" i="14"/>
  <c r="B44" i="14"/>
  <c r="H44" i="14"/>
  <c r="G44" i="14"/>
  <c r="C44" i="14"/>
  <c r="I50" i="14"/>
  <c r="B50" i="14"/>
  <c r="H50" i="14"/>
  <c r="G50" i="14"/>
  <c r="C50" i="14"/>
  <c r="I54" i="14"/>
  <c r="B54" i="14"/>
  <c r="H54" i="14"/>
  <c r="G54" i="14"/>
  <c r="C54" i="14"/>
  <c r="I58" i="14"/>
  <c r="B58" i="14"/>
  <c r="H58" i="14"/>
  <c r="G58" i="14"/>
  <c r="C58" i="14"/>
  <c r="I80" i="14"/>
  <c r="B80" i="14"/>
  <c r="H80" i="14"/>
  <c r="G80" i="14"/>
  <c r="C80" i="14"/>
  <c r="I84" i="14"/>
  <c r="B84" i="14"/>
  <c r="H84" i="14"/>
  <c r="G84" i="14"/>
  <c r="C84" i="14"/>
  <c r="C6" i="14"/>
  <c r="I15" i="14"/>
  <c r="C15" i="14"/>
  <c r="H15" i="14"/>
  <c r="B15" i="14"/>
  <c r="I26" i="14"/>
  <c r="B26" i="14"/>
  <c r="H26" i="14"/>
  <c r="C26" i="14"/>
  <c r="H27" i="14"/>
  <c r="H31" i="14"/>
  <c r="H92" i="14"/>
  <c r="G92" i="14"/>
  <c r="C92" i="14"/>
  <c r="I92" i="14"/>
  <c r="B92" i="14"/>
  <c r="H96" i="14"/>
  <c r="G96" i="14"/>
  <c r="C96" i="14"/>
  <c r="I96" i="14"/>
  <c r="B96" i="14"/>
  <c r="H100" i="14"/>
  <c r="G100" i="14"/>
  <c r="C100" i="14"/>
  <c r="I100" i="14"/>
  <c r="B100" i="14"/>
  <c r="H122" i="14"/>
  <c r="G122" i="14"/>
  <c r="C122" i="14"/>
  <c r="I122" i="14"/>
  <c r="B122" i="14"/>
  <c r="I22" i="14"/>
  <c r="B22" i="14"/>
  <c r="H22" i="14"/>
  <c r="C22" i="14"/>
  <c r="G26" i="14"/>
  <c r="C29" i="14"/>
  <c r="I29" i="14"/>
  <c r="B29" i="14"/>
  <c r="G29" i="14"/>
  <c r="H35" i="14"/>
  <c r="G35" i="14"/>
  <c r="I35" i="14"/>
  <c r="B35" i="14"/>
  <c r="H66" i="14"/>
  <c r="G66" i="14"/>
  <c r="C66" i="14"/>
  <c r="I66" i="14"/>
  <c r="B66" i="14"/>
  <c r="H70" i="14"/>
  <c r="G70" i="14"/>
  <c r="C70" i="14"/>
  <c r="I70" i="14"/>
  <c r="B70" i="14"/>
  <c r="I93" i="14"/>
  <c r="B93" i="14"/>
  <c r="H93" i="14"/>
  <c r="G93" i="14"/>
  <c r="C93" i="14"/>
  <c r="I97" i="14"/>
  <c r="B97" i="14"/>
  <c r="H97" i="14"/>
  <c r="G97" i="14"/>
  <c r="C97" i="14"/>
  <c r="I101" i="14"/>
  <c r="B101" i="14"/>
  <c r="H101" i="14"/>
  <c r="G101" i="14"/>
  <c r="C101" i="14"/>
  <c r="H105" i="14"/>
  <c r="G105" i="14"/>
  <c r="C105" i="14"/>
  <c r="I105" i="14"/>
  <c r="B105" i="14"/>
  <c r="H109" i="14"/>
  <c r="G109" i="14"/>
  <c r="C109" i="14"/>
  <c r="I109" i="14"/>
  <c r="B109" i="14"/>
  <c r="H113" i="14"/>
  <c r="G113" i="14"/>
  <c r="C113" i="14"/>
  <c r="I113" i="14"/>
  <c r="B113" i="14"/>
  <c r="I119" i="14"/>
  <c r="B119" i="14"/>
  <c r="H119" i="14"/>
  <c r="G119" i="14"/>
  <c r="C119" i="14"/>
  <c r="I123" i="14"/>
  <c r="B123" i="14"/>
  <c r="H123" i="14"/>
  <c r="G123" i="14"/>
  <c r="C123" i="14"/>
  <c r="H16" i="14"/>
  <c r="B16" i="14"/>
  <c r="G16" i="14"/>
  <c r="I16" i="14"/>
  <c r="C16" i="14"/>
  <c r="C23" i="14"/>
  <c r="I23" i="14"/>
  <c r="B23" i="14"/>
  <c r="G23" i="14"/>
  <c r="G6" i="14"/>
  <c r="H12" i="14"/>
  <c r="B12" i="14"/>
  <c r="G12" i="14"/>
  <c r="I12" i="14"/>
  <c r="C12" i="14"/>
  <c r="G15" i="14"/>
  <c r="G22" i="14"/>
  <c r="H25" i="14"/>
  <c r="G25" i="14"/>
  <c r="I25" i="14"/>
  <c r="B25" i="14"/>
  <c r="H29" i="14"/>
  <c r="C35" i="14"/>
  <c r="H39" i="14"/>
  <c r="G39" i="14"/>
  <c r="C39" i="14"/>
  <c r="I39" i="14"/>
  <c r="B39" i="14"/>
  <c r="H43" i="14"/>
  <c r="G43" i="14"/>
  <c r="C43" i="14"/>
  <c r="I43" i="14"/>
  <c r="B43" i="14"/>
  <c r="H49" i="14"/>
  <c r="G49" i="14"/>
  <c r="C49" i="14"/>
  <c r="I49" i="14"/>
  <c r="B49" i="14"/>
  <c r="H53" i="14"/>
  <c r="G53" i="14"/>
  <c r="C53" i="14"/>
  <c r="I53" i="14"/>
  <c r="B53" i="14"/>
  <c r="H57" i="14"/>
  <c r="G57" i="14"/>
  <c r="C57" i="14"/>
  <c r="I57" i="14"/>
  <c r="B57" i="14"/>
  <c r="I63" i="14"/>
  <c r="B63" i="14"/>
  <c r="H63" i="14"/>
  <c r="G63" i="14"/>
  <c r="C63" i="14"/>
  <c r="I67" i="14"/>
  <c r="B67" i="14"/>
  <c r="H67" i="14"/>
  <c r="G67" i="14"/>
  <c r="C67" i="14"/>
  <c r="I71" i="14"/>
  <c r="B71" i="14"/>
  <c r="H71" i="14"/>
  <c r="G71" i="14"/>
  <c r="C71" i="14"/>
  <c r="H79" i="14"/>
  <c r="G79" i="14"/>
  <c r="C79" i="14"/>
  <c r="I79" i="14"/>
  <c r="B79" i="14"/>
  <c r="H83" i="14"/>
  <c r="G83" i="14"/>
  <c r="C83" i="14"/>
  <c r="I83" i="14"/>
  <c r="B83" i="14"/>
  <c r="H87" i="14"/>
  <c r="G87" i="14"/>
  <c r="C87" i="14"/>
  <c r="I87" i="14"/>
  <c r="B87" i="14"/>
  <c r="I106" i="14"/>
  <c r="B106" i="14"/>
  <c r="H106" i="14"/>
  <c r="G106" i="14"/>
  <c r="C106" i="14"/>
  <c r="I110" i="14"/>
  <c r="B110" i="14"/>
  <c r="H110" i="14"/>
  <c r="G110" i="14"/>
  <c r="C110" i="14"/>
  <c r="I114" i="14"/>
  <c r="B114" i="14"/>
  <c r="H114" i="14"/>
  <c r="G114" i="14"/>
  <c r="C114" i="14"/>
  <c r="G14" i="14"/>
  <c r="H20" i="14"/>
  <c r="H24" i="14"/>
  <c r="H34" i="14"/>
  <c r="G37" i="14"/>
  <c r="H38" i="14"/>
  <c r="G41" i="14"/>
  <c r="H42" i="14"/>
  <c r="G45" i="14"/>
  <c r="H48" i="14"/>
  <c r="G51" i="14"/>
  <c r="H52" i="14"/>
  <c r="G55" i="14"/>
  <c r="H56" i="14"/>
  <c r="G59" i="14"/>
  <c r="G64" i="14"/>
  <c r="H65" i="14"/>
  <c r="G68" i="14"/>
  <c r="H69" i="14"/>
  <c r="G72" i="14"/>
  <c r="H73" i="14"/>
  <c r="G77" i="14"/>
  <c r="H78" i="14"/>
  <c r="G81" i="14"/>
  <c r="H82" i="14"/>
  <c r="G85" i="14"/>
  <c r="H86" i="14"/>
  <c r="G90" i="14"/>
  <c r="H91" i="14"/>
  <c r="G94" i="14"/>
  <c r="H95" i="14"/>
  <c r="G98" i="14"/>
  <c r="H99" i="14"/>
  <c r="H104" i="14"/>
  <c r="G107" i="14"/>
  <c r="H108" i="14"/>
  <c r="G111" i="14"/>
  <c r="H112" i="14"/>
  <c r="G115" i="14"/>
  <c r="G120" i="14"/>
  <c r="H121" i="14"/>
  <c r="G124" i="14"/>
  <c r="I125" i="14"/>
  <c r="G191" i="14"/>
  <c r="C191" i="14"/>
  <c r="I191" i="14"/>
  <c r="B191" i="14"/>
  <c r="H191" i="14"/>
  <c r="H37" i="14"/>
  <c r="H41" i="14"/>
  <c r="H45" i="14"/>
  <c r="H51" i="14"/>
  <c r="H55" i="14"/>
  <c r="H59" i="14"/>
  <c r="H64" i="14"/>
  <c r="H68" i="14"/>
  <c r="H72" i="14"/>
  <c r="H77" i="14"/>
  <c r="H81" i="14"/>
  <c r="H85" i="14"/>
  <c r="H90" i="14"/>
  <c r="H94" i="14"/>
  <c r="H98" i="14"/>
  <c r="H107" i="14"/>
  <c r="H111" i="14"/>
  <c r="H115" i="14"/>
  <c r="H120" i="14"/>
  <c r="H124" i="14"/>
  <c r="H126" i="14"/>
  <c r="I126" i="14"/>
  <c r="B126" i="14"/>
  <c r="I127" i="14"/>
  <c r="B127" i="14"/>
  <c r="C127" i="14"/>
  <c r="C128" i="14"/>
  <c r="G128" i="14"/>
  <c r="G129" i="14"/>
  <c r="H129" i="14"/>
  <c r="I132" i="14"/>
  <c r="B132" i="14"/>
  <c r="C132" i="14"/>
  <c r="C133" i="14"/>
  <c r="G133" i="14"/>
  <c r="G134" i="14"/>
  <c r="H134" i="14"/>
  <c r="H135" i="14"/>
  <c r="I135" i="14"/>
  <c r="B135" i="14"/>
  <c r="I136" i="14"/>
  <c r="B136" i="14"/>
  <c r="C136" i="14"/>
  <c r="C137" i="14"/>
  <c r="G137" i="14"/>
  <c r="G138" i="14"/>
  <c r="H138" i="14"/>
  <c r="H139" i="14"/>
  <c r="I139" i="14"/>
  <c r="B139" i="14"/>
  <c r="I140" i="14"/>
  <c r="B140" i="14"/>
  <c r="G140" i="14"/>
  <c r="C140" i="14"/>
  <c r="H143" i="14"/>
  <c r="C143" i="14"/>
  <c r="I143" i="14"/>
  <c r="B143" i="14"/>
  <c r="H152" i="14"/>
  <c r="G152" i="14"/>
  <c r="C152" i="14"/>
  <c r="I152" i="14"/>
  <c r="B152" i="14"/>
  <c r="H156" i="14"/>
  <c r="G156" i="14"/>
  <c r="C156" i="14"/>
  <c r="I156" i="14"/>
  <c r="B156" i="14"/>
  <c r="H192" i="14"/>
  <c r="G192" i="14"/>
  <c r="C192" i="14"/>
  <c r="I192" i="14"/>
  <c r="B192" i="14"/>
  <c r="C14" i="14"/>
  <c r="C20" i="14"/>
  <c r="C24" i="14"/>
  <c r="G28" i="14"/>
  <c r="G30" i="14"/>
  <c r="C34" i="14"/>
  <c r="B37" i="14"/>
  <c r="I37" i="14"/>
  <c r="C38" i="14"/>
  <c r="B41" i="14"/>
  <c r="I41" i="14"/>
  <c r="C42" i="14"/>
  <c r="B45" i="14"/>
  <c r="I45" i="14"/>
  <c r="C48" i="14"/>
  <c r="B51" i="14"/>
  <c r="I51" i="14"/>
  <c r="C52" i="14"/>
  <c r="B55" i="14"/>
  <c r="I55" i="14"/>
  <c r="C56" i="14"/>
  <c r="B59" i="14"/>
  <c r="I59" i="14"/>
  <c r="G62" i="14"/>
  <c r="B64" i="14"/>
  <c r="I64" i="14"/>
  <c r="C65" i="14"/>
  <c r="B68" i="14"/>
  <c r="I68" i="14"/>
  <c r="C69" i="14"/>
  <c r="B72" i="14"/>
  <c r="I72" i="14"/>
  <c r="C73" i="14"/>
  <c r="H76" i="14"/>
  <c r="B77" i="14"/>
  <c r="I77" i="14"/>
  <c r="C78" i="14"/>
  <c r="B81" i="14"/>
  <c r="I81" i="14"/>
  <c r="C82" i="14"/>
  <c r="B85" i="14"/>
  <c r="I85" i="14"/>
  <c r="C86" i="14"/>
  <c r="B90" i="14"/>
  <c r="I90" i="14"/>
  <c r="C91" i="14"/>
  <c r="B94" i="14"/>
  <c r="I94" i="14"/>
  <c r="C95" i="14"/>
  <c r="B98" i="14"/>
  <c r="I98" i="14"/>
  <c r="C99" i="14"/>
  <c r="C104" i="14"/>
  <c r="B107" i="14"/>
  <c r="I107" i="14"/>
  <c r="C108" i="14"/>
  <c r="B111" i="14"/>
  <c r="I111" i="14"/>
  <c r="C112" i="14"/>
  <c r="B115" i="14"/>
  <c r="I115" i="14"/>
  <c r="G118" i="14"/>
  <c r="B120" i="14"/>
  <c r="I120" i="14"/>
  <c r="C121" i="14"/>
  <c r="B124" i="14"/>
  <c r="I124" i="14"/>
  <c r="C125" i="14"/>
  <c r="C126" i="14"/>
  <c r="G127" i="14"/>
  <c r="B128" i="14"/>
  <c r="B129" i="14"/>
  <c r="G132" i="14"/>
  <c r="B133" i="14"/>
  <c r="B134" i="14"/>
  <c r="C135" i="14"/>
  <c r="G136" i="14"/>
  <c r="B137" i="14"/>
  <c r="B138" i="14"/>
  <c r="C139" i="14"/>
  <c r="H140" i="14"/>
  <c r="G143" i="14"/>
  <c r="I149" i="14"/>
  <c r="B149" i="14"/>
  <c r="G149" i="14"/>
  <c r="C149" i="14"/>
  <c r="H175" i="14"/>
  <c r="G175" i="14"/>
  <c r="C175" i="14"/>
  <c r="I175" i="14"/>
  <c r="B175" i="14"/>
  <c r="H179" i="14"/>
  <c r="G179" i="14"/>
  <c r="C179" i="14"/>
  <c r="I179" i="14"/>
  <c r="B179" i="14"/>
  <c r="H183" i="14"/>
  <c r="G183" i="14"/>
  <c r="C183" i="14"/>
  <c r="I183" i="14"/>
  <c r="B183" i="14"/>
  <c r="B76" i="14"/>
  <c r="H125" i="14"/>
  <c r="G126" i="14"/>
  <c r="H127" i="14"/>
  <c r="H128" i="14"/>
  <c r="C129" i="14"/>
  <c r="H132" i="14"/>
  <c r="H133" i="14"/>
  <c r="C134" i="14"/>
  <c r="G135" i="14"/>
  <c r="H136" i="14"/>
  <c r="H137" i="14"/>
  <c r="C138" i="14"/>
  <c r="G139" i="14"/>
  <c r="G142" i="14"/>
  <c r="I142" i="14"/>
  <c r="B142" i="14"/>
  <c r="H142" i="14"/>
  <c r="H148" i="14"/>
  <c r="C148" i="14"/>
  <c r="I148" i="14"/>
  <c r="B148" i="14"/>
  <c r="H149" i="14"/>
  <c r="G141" i="14"/>
  <c r="G146" i="14"/>
  <c r="H147" i="14"/>
  <c r="G150" i="14"/>
  <c r="H151" i="14"/>
  <c r="C153" i="14"/>
  <c r="G154" i="14"/>
  <c r="H155" i="14"/>
  <c r="C157" i="14"/>
  <c r="H160" i="14"/>
  <c r="C161" i="14"/>
  <c r="H162" i="14"/>
  <c r="C163" i="14"/>
  <c r="H164" i="14"/>
  <c r="C165" i="14"/>
  <c r="H166" i="14"/>
  <c r="C167" i="14"/>
  <c r="H168" i="14"/>
  <c r="C169" i="14"/>
  <c r="H170" i="14"/>
  <c r="C171" i="14"/>
  <c r="H174" i="14"/>
  <c r="C176" i="14"/>
  <c r="G177" i="14"/>
  <c r="H178" i="14"/>
  <c r="C180" i="14"/>
  <c r="G181" i="14"/>
  <c r="H182" i="14"/>
  <c r="C184" i="14"/>
  <c r="G185" i="14"/>
  <c r="C189" i="14"/>
  <c r="G190" i="14"/>
  <c r="G193" i="14"/>
  <c r="I194" i="14"/>
  <c r="G195" i="14"/>
  <c r="G197" i="14"/>
  <c r="G199" i="14"/>
  <c r="G204" i="14"/>
  <c r="G206" i="14"/>
  <c r="C210" i="14"/>
  <c r="I210" i="14"/>
  <c r="B210" i="14"/>
  <c r="H210" i="14"/>
  <c r="H221" i="14"/>
  <c r="G221" i="14"/>
  <c r="C221" i="14"/>
  <c r="C232" i="14"/>
  <c r="B232" i="14"/>
  <c r="I232" i="14"/>
  <c r="I234" i="14"/>
  <c r="C234" i="14"/>
  <c r="B234" i="14"/>
  <c r="C245" i="14"/>
  <c r="I245" i="14"/>
  <c r="B245" i="14"/>
  <c r="H245" i="14"/>
  <c r="G245" i="14"/>
  <c r="H141" i="14"/>
  <c r="H146" i="14"/>
  <c r="H150" i="14"/>
  <c r="G153" i="14"/>
  <c r="H154" i="14"/>
  <c r="G157" i="14"/>
  <c r="G161" i="14"/>
  <c r="G163" i="14"/>
  <c r="G165" i="14"/>
  <c r="G167" i="14"/>
  <c r="G169" i="14"/>
  <c r="G171" i="14"/>
  <c r="G176" i="14"/>
  <c r="H177" i="14"/>
  <c r="G180" i="14"/>
  <c r="H181" i="14"/>
  <c r="G184" i="14"/>
  <c r="H185" i="14"/>
  <c r="G189" i="14"/>
  <c r="H190" i="14"/>
  <c r="H193" i="14"/>
  <c r="I195" i="14"/>
  <c r="H212" i="14"/>
  <c r="G212" i="14"/>
  <c r="C212" i="14"/>
  <c r="H217" i="14"/>
  <c r="G217" i="14"/>
  <c r="C217" i="14"/>
  <c r="H225" i="14"/>
  <c r="G225" i="14"/>
  <c r="C225" i="14"/>
  <c r="I225" i="14"/>
  <c r="B225" i="14"/>
  <c r="C227" i="14"/>
  <c r="I227" i="14"/>
  <c r="B227" i="14"/>
  <c r="H227" i="14"/>
  <c r="G227" i="14"/>
  <c r="I252" i="14"/>
  <c r="B252" i="14"/>
  <c r="H252" i="14"/>
  <c r="G252" i="14"/>
  <c r="C252" i="14"/>
  <c r="H153" i="14"/>
  <c r="H157" i="14"/>
  <c r="H161" i="14"/>
  <c r="H163" i="14"/>
  <c r="H165" i="14"/>
  <c r="H167" i="14"/>
  <c r="H169" i="14"/>
  <c r="H171" i="14"/>
  <c r="H176" i="14"/>
  <c r="H180" i="14"/>
  <c r="H184" i="14"/>
  <c r="H189" i="14"/>
  <c r="I193" i="14"/>
  <c r="C197" i="14"/>
  <c r="H197" i="14"/>
  <c r="H199" i="14"/>
  <c r="C199" i="14"/>
  <c r="H204" i="14"/>
  <c r="C204" i="14"/>
  <c r="C206" i="14"/>
  <c r="H206" i="14"/>
  <c r="H208" i="14"/>
  <c r="G208" i="14"/>
  <c r="C208" i="14"/>
  <c r="G220" i="14"/>
  <c r="C220" i="14"/>
  <c r="I220" i="14"/>
  <c r="B220" i="14"/>
  <c r="C223" i="14"/>
  <c r="I223" i="14"/>
  <c r="B223" i="14"/>
  <c r="H223" i="14"/>
  <c r="G223" i="14"/>
  <c r="C240" i="14"/>
  <c r="B240" i="14"/>
  <c r="I240" i="14"/>
  <c r="B153" i="14"/>
  <c r="B157" i="14"/>
  <c r="B161" i="14"/>
  <c r="B163" i="14"/>
  <c r="B165" i="14"/>
  <c r="B167" i="14"/>
  <c r="B169" i="14"/>
  <c r="B171" i="14"/>
  <c r="B176" i="14"/>
  <c r="B180" i="14"/>
  <c r="B184" i="14"/>
  <c r="B189" i="14"/>
  <c r="B193" i="14"/>
  <c r="H194" i="14"/>
  <c r="C195" i="14"/>
  <c r="I196" i="14"/>
  <c r="B196" i="14"/>
  <c r="G196" i="14"/>
  <c r="B197" i="14"/>
  <c r="G198" i="14"/>
  <c r="I198" i="14"/>
  <c r="B198" i="14"/>
  <c r="B199" i="14"/>
  <c r="G203" i="14"/>
  <c r="I203" i="14"/>
  <c r="B203" i="14"/>
  <c r="B204" i="14"/>
  <c r="I205" i="14"/>
  <c r="B205" i="14"/>
  <c r="G205" i="14"/>
  <c r="B206" i="14"/>
  <c r="G207" i="14"/>
  <c r="I207" i="14"/>
  <c r="B207" i="14"/>
  <c r="B208" i="14"/>
  <c r="G211" i="14"/>
  <c r="C211" i="14"/>
  <c r="I211" i="14"/>
  <c r="B211" i="14"/>
  <c r="I212" i="14"/>
  <c r="G216" i="14"/>
  <c r="C216" i="14"/>
  <c r="I216" i="14"/>
  <c r="B216" i="14"/>
  <c r="I217" i="14"/>
  <c r="C219" i="14"/>
  <c r="I219" i="14"/>
  <c r="B219" i="14"/>
  <c r="H219" i="14"/>
  <c r="H220" i="14"/>
  <c r="C236" i="14"/>
  <c r="B236" i="14"/>
  <c r="I236" i="14"/>
  <c r="I238" i="14"/>
  <c r="C238" i="14"/>
  <c r="B238" i="14"/>
  <c r="H247" i="14"/>
  <c r="G247" i="14"/>
  <c r="C247" i="14"/>
  <c r="I247" i="14"/>
  <c r="B247" i="14"/>
  <c r="C249" i="14"/>
  <c r="I249" i="14"/>
  <c r="B249" i="14"/>
  <c r="H249" i="14"/>
  <c r="G249" i="14"/>
  <c r="H224" i="14"/>
  <c r="H246" i="14"/>
  <c r="I250" i="14"/>
  <c r="I253" i="14"/>
  <c r="I258" i="14"/>
  <c r="I261" i="14"/>
  <c r="C261" i="14"/>
  <c r="H261" i="14"/>
  <c r="G266" i="14"/>
  <c r="A61" i="22"/>
  <c r="I61" i="22"/>
  <c r="A207" i="22"/>
  <c r="C207" i="22"/>
  <c r="J207" i="22"/>
  <c r="D207" i="22"/>
  <c r="A212" i="22"/>
  <c r="J212" i="22"/>
  <c r="C212" i="22"/>
  <c r="I212" i="22"/>
  <c r="H212" i="22"/>
  <c r="D212" i="22"/>
  <c r="A218" i="22"/>
  <c r="H218" i="22"/>
  <c r="D218" i="22"/>
  <c r="J218" i="22"/>
  <c r="C218" i="22"/>
  <c r="I218" i="22"/>
  <c r="H202" i="14"/>
  <c r="G209" i="14"/>
  <c r="G213" i="14"/>
  <c r="G218" i="14"/>
  <c r="G222" i="14"/>
  <c r="B224" i="14"/>
  <c r="I224" i="14"/>
  <c r="G226" i="14"/>
  <c r="B231" i="14"/>
  <c r="I233" i="14"/>
  <c r="B235" i="14"/>
  <c r="I237" i="14"/>
  <c r="B239" i="14"/>
  <c r="I241" i="14"/>
  <c r="G244" i="14"/>
  <c r="B246" i="14"/>
  <c r="I246" i="14"/>
  <c r="G248" i="14"/>
  <c r="B250" i="14"/>
  <c r="I251" i="14"/>
  <c r="B253" i="14"/>
  <c r="H254" i="14"/>
  <c r="B258" i="14"/>
  <c r="B261" i="14"/>
  <c r="G262" i="14"/>
  <c r="B266" i="14"/>
  <c r="H266" i="14"/>
  <c r="H268" i="14"/>
  <c r="B268" i="14"/>
  <c r="I268" i="14"/>
  <c r="A198" i="22"/>
  <c r="D198" i="22"/>
  <c r="C198" i="22"/>
  <c r="J198" i="22"/>
  <c r="A201" i="22"/>
  <c r="J201" i="22"/>
  <c r="D201" i="22"/>
  <c r="C201" i="22"/>
  <c r="A209" i="22"/>
  <c r="D209" i="22"/>
  <c r="J209" i="22"/>
  <c r="C209" i="22"/>
  <c r="I209" i="22"/>
  <c r="H209" i="22"/>
  <c r="A213" i="22"/>
  <c r="D213" i="22"/>
  <c r="J213" i="22"/>
  <c r="C213" i="22"/>
  <c r="I213" i="22"/>
  <c r="H213" i="22"/>
  <c r="A219" i="22"/>
  <c r="I219" i="22"/>
  <c r="H219" i="22"/>
  <c r="D219" i="22"/>
  <c r="J219" i="22"/>
  <c r="C219" i="22"/>
  <c r="H209" i="14"/>
  <c r="H213" i="14"/>
  <c r="H218" i="14"/>
  <c r="H222" i="14"/>
  <c r="C224" i="14"/>
  <c r="H226" i="14"/>
  <c r="C231" i="14"/>
  <c r="C235" i="14"/>
  <c r="C239" i="14"/>
  <c r="H244" i="14"/>
  <c r="C246" i="14"/>
  <c r="H248" i="14"/>
  <c r="C250" i="14"/>
  <c r="G253" i="14"/>
  <c r="I254" i="14"/>
  <c r="G258" i="14"/>
  <c r="H264" i="14"/>
  <c r="B264" i="14"/>
  <c r="I264" i="14"/>
  <c r="C266" i="14"/>
  <c r="I269" i="14"/>
  <c r="C269" i="14"/>
  <c r="H269" i="14"/>
  <c r="A199" i="22"/>
  <c r="C199" i="22"/>
  <c r="J199" i="22"/>
  <c r="D199" i="22"/>
  <c r="A202" i="22"/>
  <c r="D202" i="22"/>
  <c r="C202" i="22"/>
  <c r="J202" i="22"/>
  <c r="A205" i="22"/>
  <c r="J205" i="22"/>
  <c r="D205" i="22"/>
  <c r="C205" i="22"/>
  <c r="A210" i="22"/>
  <c r="H210" i="22"/>
  <c r="D210" i="22"/>
  <c r="J210" i="22"/>
  <c r="C210" i="22"/>
  <c r="I210" i="22"/>
  <c r="A214" i="22"/>
  <c r="H214" i="22"/>
  <c r="D214" i="22"/>
  <c r="J214" i="22"/>
  <c r="C214" i="22"/>
  <c r="I214" i="22"/>
  <c r="B209" i="14"/>
  <c r="B213" i="14"/>
  <c r="B218" i="14"/>
  <c r="B222" i="14"/>
  <c r="B226" i="14"/>
  <c r="B244" i="14"/>
  <c r="B248" i="14"/>
  <c r="H250" i="14"/>
  <c r="C251" i="14"/>
  <c r="H253" i="14"/>
  <c r="B254" i="14"/>
  <c r="I255" i="14"/>
  <c r="H258" i="14"/>
  <c r="H260" i="14"/>
  <c r="B260" i="14"/>
  <c r="I260" i="14"/>
  <c r="G261" i="14"/>
  <c r="C262" i="14"/>
  <c r="C264" i="14"/>
  <c r="I265" i="14"/>
  <c r="C265" i="14"/>
  <c r="H265" i="14"/>
  <c r="B269" i="14"/>
  <c r="C185" i="22"/>
  <c r="J185" i="22"/>
  <c r="J189" i="22"/>
  <c r="C189" i="22"/>
  <c r="A193" i="22"/>
  <c r="H193" i="22"/>
  <c r="D193" i="22"/>
  <c r="J193" i="22"/>
  <c r="C193" i="22"/>
  <c r="I193" i="22"/>
  <c r="A203" i="22"/>
  <c r="C203" i="22"/>
  <c r="J203" i="22"/>
  <c r="D203" i="22"/>
  <c r="A206" i="22"/>
  <c r="D206" i="22"/>
  <c r="C206" i="22"/>
  <c r="J206" i="22"/>
  <c r="A211" i="22"/>
  <c r="I211" i="22"/>
  <c r="H211" i="22"/>
  <c r="D211" i="22"/>
  <c r="J211" i="22"/>
  <c r="C211" i="22"/>
  <c r="A215" i="22"/>
  <c r="I215" i="22"/>
  <c r="H215" i="22"/>
  <c r="D215" i="22"/>
  <c r="J215" i="22"/>
  <c r="C215" i="22"/>
  <c r="A217" i="22"/>
  <c r="D217" i="22"/>
  <c r="J217" i="22"/>
  <c r="C217" i="22"/>
  <c r="I217" i="22"/>
  <c r="H217" i="22"/>
  <c r="C49" i="22"/>
  <c r="C54" i="22"/>
  <c r="D102" i="22"/>
  <c r="C194" i="22"/>
  <c r="J194" i="22"/>
  <c r="C200" i="22"/>
  <c r="C204" i="22"/>
  <c r="H224" i="22"/>
  <c r="H228" i="22"/>
  <c r="D194" i="22"/>
  <c r="D200" i="22"/>
  <c r="D204" i="22"/>
  <c r="H208" i="22"/>
  <c r="H216" i="22"/>
  <c r="I220" i="22"/>
  <c r="H223" i="22"/>
  <c r="C224" i="22"/>
  <c r="I224" i="22"/>
  <c r="H227" i="22"/>
  <c r="C228" i="22"/>
  <c r="I228" i="22"/>
  <c r="H231" i="22"/>
  <c r="D37" i="22"/>
  <c r="C58" i="22"/>
  <c r="D66" i="22"/>
  <c r="D124" i="22"/>
  <c r="C146" i="22"/>
  <c r="C160" i="22"/>
  <c r="H194" i="22"/>
  <c r="J200" i="22"/>
  <c r="J204" i="22"/>
  <c r="I208" i="22"/>
  <c r="I216" i="22"/>
  <c r="C220" i="22"/>
  <c r="J220" i="22"/>
  <c r="H222" i="22"/>
  <c r="C223" i="22"/>
  <c r="I223" i="22"/>
  <c r="D224" i="22"/>
  <c r="J224" i="22"/>
  <c r="H226" i="22"/>
  <c r="C227" i="22"/>
  <c r="I227" i="22"/>
  <c r="D228" i="22"/>
  <c r="J228" i="22"/>
  <c r="H230" i="22"/>
  <c r="C231" i="22"/>
  <c r="I231" i="22"/>
  <c r="D160" i="22"/>
  <c r="I194" i="22"/>
  <c r="C216" i="22"/>
  <c r="J216" i="22"/>
  <c r="D220" i="22"/>
  <c r="H221" i="22"/>
  <c r="C222" i="22"/>
  <c r="I222" i="22"/>
  <c r="D223" i="22"/>
  <c r="J223" i="22"/>
  <c r="H225" i="22"/>
  <c r="C226" i="22"/>
  <c r="I226" i="22"/>
  <c r="D227" i="22"/>
  <c r="J227" i="22"/>
  <c r="H229" i="22"/>
  <c r="C230" i="22"/>
  <c r="I230" i="22"/>
  <c r="D231" i="22"/>
  <c r="J231" i="22"/>
  <c r="C116" i="22"/>
  <c r="J116" i="22"/>
  <c r="A93" i="22"/>
  <c r="I93" i="22"/>
  <c r="J93" i="22"/>
  <c r="C127" i="22"/>
  <c r="J127" i="22"/>
  <c r="C105" i="22"/>
  <c r="J105" i="22"/>
  <c r="C109" i="22"/>
  <c r="J109" i="22"/>
  <c r="D41" i="22"/>
  <c r="H45" i="22"/>
  <c r="C124" i="22"/>
  <c r="D138" i="22"/>
  <c r="I143" i="22"/>
  <c r="I144" i="22"/>
  <c r="C45" i="22"/>
  <c r="D49" i="22"/>
  <c r="I57" i="22"/>
  <c r="C76" i="22"/>
  <c r="D94" i="22"/>
  <c r="D99" i="22"/>
  <c r="C101" i="22"/>
  <c r="C120" i="22"/>
  <c r="C131" i="22"/>
  <c r="J138" i="22"/>
  <c r="D143" i="22"/>
  <c r="C144" i="22"/>
  <c r="D145" i="22"/>
  <c r="C62" i="22"/>
  <c r="J94" i="22"/>
  <c r="H143" i="22"/>
  <c r="J7" i="22"/>
  <c r="A7" i="22"/>
  <c r="J11" i="22"/>
  <c r="A11" i="22"/>
  <c r="I13" i="22"/>
  <c r="A13" i="22"/>
  <c r="J15" i="22"/>
  <c r="A15" i="22"/>
  <c r="H17" i="22"/>
  <c r="A17" i="22"/>
  <c r="H21" i="22"/>
  <c r="A21" i="22"/>
  <c r="J23" i="22"/>
  <c r="A23" i="22"/>
  <c r="J31" i="22"/>
  <c r="A31" i="22"/>
  <c r="I33" i="22"/>
  <c r="A33" i="22"/>
  <c r="J35" i="22"/>
  <c r="A35" i="22"/>
  <c r="I37" i="22"/>
  <c r="A37" i="22"/>
  <c r="I39" i="22"/>
  <c r="A39" i="22"/>
  <c r="I41" i="22"/>
  <c r="A41" i="22"/>
  <c r="I43" i="22"/>
  <c r="A43" i="22"/>
  <c r="I45" i="22"/>
  <c r="A45" i="22"/>
  <c r="I47" i="22"/>
  <c r="A47" i="22"/>
  <c r="I49" i="22"/>
  <c r="A49" i="22"/>
  <c r="D52" i="22"/>
  <c r="A52" i="22"/>
  <c r="D59" i="22"/>
  <c r="A59" i="22"/>
  <c r="I64" i="22"/>
  <c r="A64" i="22"/>
  <c r="H68" i="22"/>
  <c r="A68" i="22"/>
  <c r="H72" i="22"/>
  <c r="A72" i="22"/>
  <c r="I76" i="22"/>
  <c r="A76" i="22"/>
  <c r="H79" i="22"/>
  <c r="A79" i="22"/>
  <c r="H83" i="22"/>
  <c r="A83" i="22"/>
  <c r="H87" i="22"/>
  <c r="A87" i="22"/>
  <c r="J88" i="22"/>
  <c r="A88" i="22"/>
  <c r="H90" i="22"/>
  <c r="A90" i="22"/>
  <c r="I97" i="22"/>
  <c r="A97" i="22"/>
  <c r="I101" i="22"/>
  <c r="A101" i="22"/>
  <c r="H104" i="22"/>
  <c r="A104" i="22"/>
  <c r="I105" i="22"/>
  <c r="A105" i="22"/>
  <c r="H108" i="22"/>
  <c r="A108" i="22"/>
  <c r="I109" i="22"/>
  <c r="A109" i="22"/>
  <c r="I112" i="22"/>
  <c r="A112" i="22"/>
  <c r="I116" i="22"/>
  <c r="A116" i="22"/>
  <c r="I120" i="22"/>
  <c r="A120" i="22"/>
  <c r="I124" i="22"/>
  <c r="A124" i="22"/>
  <c r="I127" i="22"/>
  <c r="A127" i="22"/>
  <c r="I131" i="22"/>
  <c r="A131" i="22"/>
  <c r="J136" i="22"/>
  <c r="A136" i="22"/>
  <c r="I137" i="22"/>
  <c r="A137" i="22"/>
  <c r="I138" i="22"/>
  <c r="A138" i="22"/>
  <c r="I139" i="22"/>
  <c r="A139" i="22"/>
  <c r="H140" i="22"/>
  <c r="A140" i="22"/>
  <c r="H142" i="22"/>
  <c r="A142" i="22"/>
  <c r="H144" i="22"/>
  <c r="A144" i="22"/>
  <c r="I145" i="22"/>
  <c r="A145" i="22"/>
  <c r="H146" i="22"/>
  <c r="A146" i="22"/>
  <c r="I147" i="22"/>
  <c r="A147" i="22"/>
  <c r="H148" i="22"/>
  <c r="A148" i="22"/>
  <c r="J156" i="22"/>
  <c r="A156" i="22"/>
  <c r="I160" i="22"/>
  <c r="A160" i="22"/>
  <c r="H172" i="22"/>
  <c r="A172" i="22"/>
  <c r="I184" i="22"/>
  <c r="A184" i="22"/>
  <c r="I185" i="22"/>
  <c r="A185" i="22"/>
  <c r="I189" i="22"/>
  <c r="A189" i="22"/>
  <c r="C196" i="22"/>
  <c r="A196" i="22"/>
  <c r="I5" i="22"/>
  <c r="D5" i="22"/>
  <c r="J5" i="22"/>
  <c r="I9" i="22"/>
  <c r="D9" i="22"/>
  <c r="J9" i="22"/>
  <c r="J19" i="22"/>
  <c r="D19" i="22"/>
  <c r="D51" i="22"/>
  <c r="H51" i="22"/>
  <c r="C51" i="22"/>
  <c r="J51" i="22"/>
  <c r="I51" i="22"/>
  <c r="I29" i="22"/>
  <c r="H29" i="22"/>
  <c r="D29" i="22"/>
  <c r="J29" i="22"/>
  <c r="C29" i="22"/>
  <c r="J13" i="22"/>
  <c r="H33" i="22"/>
  <c r="D35" i="22"/>
  <c r="J39" i="22"/>
  <c r="J43" i="22"/>
  <c r="J47" i="22"/>
  <c r="J50" i="22"/>
  <c r="C50" i="22"/>
  <c r="D54" i="22"/>
  <c r="I54" i="22"/>
  <c r="I58" i="22"/>
  <c r="H58" i="22"/>
  <c r="D58" i="22"/>
  <c r="H61" i="22"/>
  <c r="D61" i="22"/>
  <c r="J61" i="22"/>
  <c r="C61" i="22"/>
  <c r="J66" i="22"/>
  <c r="C66" i="22"/>
  <c r="I66" i="22"/>
  <c r="H66" i="22"/>
  <c r="D75" i="22"/>
  <c r="J75" i="22"/>
  <c r="C75" i="22"/>
  <c r="I75" i="22"/>
  <c r="H75" i="22"/>
  <c r="J77" i="22"/>
  <c r="C77" i="22"/>
  <c r="I77" i="22"/>
  <c r="H77" i="22"/>
  <c r="D77" i="22"/>
  <c r="I80" i="22"/>
  <c r="H80" i="22"/>
  <c r="D80" i="22"/>
  <c r="J80" i="22"/>
  <c r="C80" i="22"/>
  <c r="D89" i="22"/>
  <c r="J89" i="22"/>
  <c r="C89" i="22"/>
  <c r="I89" i="22"/>
  <c r="H89" i="22"/>
  <c r="J92" i="22"/>
  <c r="C92" i="22"/>
  <c r="H92" i="22"/>
  <c r="D92" i="22"/>
  <c r="I92" i="22"/>
  <c r="J33" i="22"/>
  <c r="C39" i="22"/>
  <c r="C43" i="22"/>
  <c r="C47" i="22"/>
  <c r="D50" i="22"/>
  <c r="J53" i="22"/>
  <c r="C53" i="22"/>
  <c r="H53" i="22"/>
  <c r="H55" i="22"/>
  <c r="J55" i="22"/>
  <c r="C55" i="22"/>
  <c r="D60" i="22"/>
  <c r="J60" i="22"/>
  <c r="C60" i="22"/>
  <c r="I60" i="22"/>
  <c r="J63" i="22"/>
  <c r="C63" i="22"/>
  <c r="I63" i="22"/>
  <c r="H63" i="22"/>
  <c r="I65" i="22"/>
  <c r="H65" i="22"/>
  <c r="D65" i="22"/>
  <c r="I69" i="22"/>
  <c r="H69" i="22"/>
  <c r="D69" i="22"/>
  <c r="J69" i="22"/>
  <c r="C69" i="22"/>
  <c r="D78" i="22"/>
  <c r="J78" i="22"/>
  <c r="C78" i="22"/>
  <c r="I78" i="22"/>
  <c r="H78" i="22"/>
  <c r="J81" i="22"/>
  <c r="C81" i="22"/>
  <c r="I81" i="22"/>
  <c r="H81" i="22"/>
  <c r="D81" i="22"/>
  <c r="I84" i="22"/>
  <c r="H84" i="22"/>
  <c r="D84" i="22"/>
  <c r="J84" i="22"/>
  <c r="C84" i="22"/>
  <c r="D13" i="22"/>
  <c r="D23" i="22"/>
  <c r="C33" i="22"/>
  <c r="J37" i="22"/>
  <c r="D39" i="22"/>
  <c r="J41" i="22"/>
  <c r="D43" i="22"/>
  <c r="J45" i="22"/>
  <c r="D47" i="22"/>
  <c r="J49" i="22"/>
  <c r="H50" i="22"/>
  <c r="D53" i="22"/>
  <c r="H54" i="22"/>
  <c r="D55" i="22"/>
  <c r="H57" i="22"/>
  <c r="D57" i="22"/>
  <c r="J57" i="22"/>
  <c r="C57" i="22"/>
  <c r="J58" i="22"/>
  <c r="H60" i="22"/>
  <c r="I62" i="22"/>
  <c r="H62" i="22"/>
  <c r="D62" i="22"/>
  <c r="D63" i="22"/>
  <c r="C65" i="22"/>
  <c r="D67" i="22"/>
  <c r="J67" i="22"/>
  <c r="C67" i="22"/>
  <c r="I67" i="22"/>
  <c r="H67" i="22"/>
  <c r="J70" i="22"/>
  <c r="C70" i="22"/>
  <c r="I70" i="22"/>
  <c r="H70" i="22"/>
  <c r="D70" i="22"/>
  <c r="I73" i="22"/>
  <c r="H73" i="22"/>
  <c r="D73" i="22"/>
  <c r="J73" i="22"/>
  <c r="C73" i="22"/>
  <c r="D82" i="22"/>
  <c r="J82" i="22"/>
  <c r="C82" i="22"/>
  <c r="I82" i="22"/>
  <c r="H82" i="22"/>
  <c r="J85" i="22"/>
  <c r="C85" i="22"/>
  <c r="I85" i="22"/>
  <c r="H85" i="22"/>
  <c r="D85" i="22"/>
  <c r="D31" i="22"/>
  <c r="D33" i="22"/>
  <c r="H39" i="22"/>
  <c r="H43" i="22"/>
  <c r="H47" i="22"/>
  <c r="I50" i="22"/>
  <c r="I53" i="22"/>
  <c r="J54" i="22"/>
  <c r="I55" i="22"/>
  <c r="J59" i="22"/>
  <c r="C59" i="22"/>
  <c r="I59" i="22"/>
  <c r="H59" i="22"/>
  <c r="H64" i="22"/>
  <c r="D64" i="22"/>
  <c r="J64" i="22"/>
  <c r="C64" i="22"/>
  <c r="J65" i="22"/>
  <c r="D71" i="22"/>
  <c r="J71" i="22"/>
  <c r="C71" i="22"/>
  <c r="I71" i="22"/>
  <c r="H71" i="22"/>
  <c r="J74" i="22"/>
  <c r="C74" i="22"/>
  <c r="I74" i="22"/>
  <c r="H74" i="22"/>
  <c r="D74" i="22"/>
  <c r="D86" i="22"/>
  <c r="J86" i="22"/>
  <c r="C86" i="22"/>
  <c r="I86" i="22"/>
  <c r="H86" i="22"/>
  <c r="I91" i="22"/>
  <c r="J91" i="22"/>
  <c r="H91" i="22"/>
  <c r="D91" i="22"/>
  <c r="C91" i="22"/>
  <c r="I68" i="22"/>
  <c r="I72" i="22"/>
  <c r="I79" i="22"/>
  <c r="I83" i="22"/>
  <c r="I87" i="22"/>
  <c r="I90" i="22"/>
  <c r="D96" i="22"/>
  <c r="J96" i="22"/>
  <c r="C96" i="22"/>
  <c r="I96" i="22"/>
  <c r="J99" i="22"/>
  <c r="C99" i="22"/>
  <c r="I99" i="22"/>
  <c r="H99" i="22"/>
  <c r="J102" i="22"/>
  <c r="C102" i="22"/>
  <c r="I102" i="22"/>
  <c r="H102" i="22"/>
  <c r="H115" i="22"/>
  <c r="D115" i="22"/>
  <c r="J115" i="22"/>
  <c r="C115" i="22"/>
  <c r="I115" i="22"/>
  <c r="J121" i="22"/>
  <c r="C121" i="22"/>
  <c r="I121" i="22"/>
  <c r="H121" i="22"/>
  <c r="D121" i="22"/>
  <c r="H126" i="22"/>
  <c r="D126" i="22"/>
  <c r="J126" i="22"/>
  <c r="C126" i="22"/>
  <c r="I126" i="22"/>
  <c r="J132" i="22"/>
  <c r="C132" i="22"/>
  <c r="I132" i="22"/>
  <c r="H132" i="22"/>
  <c r="D132" i="22"/>
  <c r="C68" i="22"/>
  <c r="J68" i="22"/>
  <c r="C72" i="22"/>
  <c r="J72" i="22"/>
  <c r="D76" i="22"/>
  <c r="C79" i="22"/>
  <c r="J79" i="22"/>
  <c r="C83" i="22"/>
  <c r="J83" i="22"/>
  <c r="C87" i="22"/>
  <c r="J87" i="22"/>
  <c r="H88" i="22"/>
  <c r="C90" i="22"/>
  <c r="J90" i="22"/>
  <c r="H96" i="22"/>
  <c r="I98" i="22"/>
  <c r="H98" i="22"/>
  <c r="D98" i="22"/>
  <c r="J106" i="22"/>
  <c r="C106" i="22"/>
  <c r="I106" i="22"/>
  <c r="H106" i="22"/>
  <c r="D106" i="22"/>
  <c r="J110" i="22"/>
  <c r="C110" i="22"/>
  <c r="I110" i="22"/>
  <c r="H110" i="22"/>
  <c r="D110" i="22"/>
  <c r="J117" i="22"/>
  <c r="C117" i="22"/>
  <c r="I117" i="22"/>
  <c r="H117" i="22"/>
  <c r="D117" i="22"/>
  <c r="D122" i="22"/>
  <c r="J122" i="22"/>
  <c r="C122" i="22"/>
  <c r="I122" i="22"/>
  <c r="H122" i="22"/>
  <c r="J128" i="22"/>
  <c r="C128" i="22"/>
  <c r="I128" i="22"/>
  <c r="H128" i="22"/>
  <c r="D128" i="22"/>
  <c r="D133" i="22"/>
  <c r="J133" i="22"/>
  <c r="C133" i="22"/>
  <c r="I133" i="22"/>
  <c r="H133" i="22"/>
  <c r="D151" i="22"/>
  <c r="J151" i="22"/>
  <c r="C151" i="22"/>
  <c r="I151" i="22"/>
  <c r="H151" i="22"/>
  <c r="D68" i="22"/>
  <c r="D72" i="22"/>
  <c r="H76" i="22"/>
  <c r="D79" i="22"/>
  <c r="D83" i="22"/>
  <c r="D87" i="22"/>
  <c r="I88" i="22"/>
  <c r="D90" i="22"/>
  <c r="H93" i="22"/>
  <c r="D93" i="22"/>
  <c r="I94" i="22"/>
  <c r="H94" i="22"/>
  <c r="J95" i="22"/>
  <c r="C95" i="22"/>
  <c r="I95" i="22"/>
  <c r="H95" i="22"/>
  <c r="C98" i="22"/>
  <c r="H100" i="22"/>
  <c r="D100" i="22"/>
  <c r="J100" i="22"/>
  <c r="C100" i="22"/>
  <c r="D103" i="22"/>
  <c r="J103" i="22"/>
  <c r="C103" i="22"/>
  <c r="I103" i="22"/>
  <c r="H103" i="22"/>
  <c r="D107" i="22"/>
  <c r="J107" i="22"/>
  <c r="C107" i="22"/>
  <c r="I107" i="22"/>
  <c r="H107" i="22"/>
  <c r="D111" i="22"/>
  <c r="J111" i="22"/>
  <c r="C111" i="22"/>
  <c r="I111" i="22"/>
  <c r="H111" i="22"/>
  <c r="J113" i="22"/>
  <c r="C113" i="22"/>
  <c r="I113" i="22"/>
  <c r="H113" i="22"/>
  <c r="D113" i="22"/>
  <c r="D118" i="22"/>
  <c r="J118" i="22"/>
  <c r="C118" i="22"/>
  <c r="I118" i="22"/>
  <c r="H118" i="22"/>
  <c r="H123" i="22"/>
  <c r="D123" i="22"/>
  <c r="J123" i="22"/>
  <c r="C123" i="22"/>
  <c r="I123" i="22"/>
  <c r="D129" i="22"/>
  <c r="J129" i="22"/>
  <c r="C129" i="22"/>
  <c r="I129" i="22"/>
  <c r="H129" i="22"/>
  <c r="H134" i="22"/>
  <c r="D134" i="22"/>
  <c r="J134" i="22"/>
  <c r="C134" i="22"/>
  <c r="I134" i="22"/>
  <c r="C88" i="22"/>
  <c r="C93" i="22"/>
  <c r="C94" i="22"/>
  <c r="D95" i="22"/>
  <c r="H97" i="22"/>
  <c r="D97" i="22"/>
  <c r="J97" i="22"/>
  <c r="C97" i="22"/>
  <c r="J98" i="22"/>
  <c r="I100" i="22"/>
  <c r="D114" i="22"/>
  <c r="J114" i="22"/>
  <c r="C114" i="22"/>
  <c r="I114" i="22"/>
  <c r="H114" i="22"/>
  <c r="H119" i="22"/>
  <c r="D119" i="22"/>
  <c r="J119" i="22"/>
  <c r="C119" i="22"/>
  <c r="I119" i="22"/>
  <c r="D125" i="22"/>
  <c r="J125" i="22"/>
  <c r="C125" i="22"/>
  <c r="I125" i="22"/>
  <c r="H125" i="22"/>
  <c r="H130" i="22"/>
  <c r="D130" i="22"/>
  <c r="J130" i="22"/>
  <c r="C130" i="22"/>
  <c r="I130" i="22"/>
  <c r="I135" i="22"/>
  <c r="H135" i="22"/>
  <c r="D135" i="22"/>
  <c r="J135" i="22"/>
  <c r="C135" i="22"/>
  <c r="I104" i="22"/>
  <c r="I108" i="22"/>
  <c r="J141" i="22"/>
  <c r="C141" i="22"/>
  <c r="J142" i="22"/>
  <c r="I149" i="22"/>
  <c r="H149" i="22"/>
  <c r="J150" i="22"/>
  <c r="C150" i="22"/>
  <c r="I150" i="22"/>
  <c r="H152" i="22"/>
  <c r="D152" i="22"/>
  <c r="I153" i="22"/>
  <c r="H153" i="22"/>
  <c r="H154" i="22"/>
  <c r="J154" i="22"/>
  <c r="C154" i="22"/>
  <c r="I154" i="22"/>
  <c r="H161" i="22"/>
  <c r="D161" i="22"/>
  <c r="J161" i="22"/>
  <c r="C161" i="22"/>
  <c r="I161" i="22"/>
  <c r="H165" i="22"/>
  <c r="D165" i="22"/>
  <c r="J165" i="22"/>
  <c r="C165" i="22"/>
  <c r="I165" i="22"/>
  <c r="H169" i="22"/>
  <c r="D169" i="22"/>
  <c r="J169" i="22"/>
  <c r="C169" i="22"/>
  <c r="I169" i="22"/>
  <c r="H176" i="22"/>
  <c r="D176" i="22"/>
  <c r="J176" i="22"/>
  <c r="C176" i="22"/>
  <c r="I176" i="22"/>
  <c r="H180" i="22"/>
  <c r="D180" i="22"/>
  <c r="J180" i="22"/>
  <c r="C180" i="22"/>
  <c r="I180" i="22"/>
  <c r="D190" i="22"/>
  <c r="J190" i="22"/>
  <c r="C190" i="22"/>
  <c r="I190" i="22"/>
  <c r="H190" i="22"/>
  <c r="D101" i="22"/>
  <c r="C104" i="22"/>
  <c r="J104" i="22"/>
  <c r="D105" i="22"/>
  <c r="C108" i="22"/>
  <c r="J108" i="22"/>
  <c r="D109" i="22"/>
  <c r="D112" i="22"/>
  <c r="D116" i="22"/>
  <c r="D120" i="22"/>
  <c r="H124" i="22"/>
  <c r="D127" i="22"/>
  <c r="D131" i="22"/>
  <c r="I136" i="22"/>
  <c r="D137" i="22"/>
  <c r="H139" i="22"/>
  <c r="D140" i="22"/>
  <c r="D141" i="22"/>
  <c r="C142" i="22"/>
  <c r="J143" i="22"/>
  <c r="C143" i="22"/>
  <c r="J144" i="22"/>
  <c r="I146" i="22"/>
  <c r="H147" i="22"/>
  <c r="D148" i="22"/>
  <c r="C149" i="22"/>
  <c r="D150" i="22"/>
  <c r="C152" i="22"/>
  <c r="C153" i="22"/>
  <c r="D154" i="22"/>
  <c r="D157" i="22"/>
  <c r="J157" i="22"/>
  <c r="C157" i="22"/>
  <c r="I157" i="22"/>
  <c r="H157" i="22"/>
  <c r="I162" i="22"/>
  <c r="H162" i="22"/>
  <c r="D162" i="22"/>
  <c r="J162" i="22"/>
  <c r="C162" i="22"/>
  <c r="I166" i="22"/>
  <c r="H166" i="22"/>
  <c r="D166" i="22"/>
  <c r="J166" i="22"/>
  <c r="C166" i="22"/>
  <c r="I170" i="22"/>
  <c r="H170" i="22"/>
  <c r="D170" i="22"/>
  <c r="J170" i="22"/>
  <c r="C170" i="22"/>
  <c r="I173" i="22"/>
  <c r="H173" i="22"/>
  <c r="D173" i="22"/>
  <c r="J173" i="22"/>
  <c r="C173" i="22"/>
  <c r="I177" i="22"/>
  <c r="H177" i="22"/>
  <c r="D177" i="22"/>
  <c r="J177" i="22"/>
  <c r="C177" i="22"/>
  <c r="I181" i="22"/>
  <c r="H181" i="22"/>
  <c r="D181" i="22"/>
  <c r="J181" i="22"/>
  <c r="C181" i="22"/>
  <c r="D186" i="22"/>
  <c r="J186" i="22"/>
  <c r="C186" i="22"/>
  <c r="I186" i="22"/>
  <c r="H186" i="22"/>
  <c r="H191" i="22"/>
  <c r="D191" i="22"/>
  <c r="J191" i="22"/>
  <c r="C191" i="22"/>
  <c r="I191" i="22"/>
  <c r="H195" i="22"/>
  <c r="D195" i="22"/>
  <c r="J195" i="22"/>
  <c r="C195" i="22"/>
  <c r="I195" i="22"/>
  <c r="H101" i="22"/>
  <c r="D104" i="22"/>
  <c r="H105" i="22"/>
  <c r="D108" i="22"/>
  <c r="H109" i="22"/>
  <c r="H112" i="22"/>
  <c r="H116" i="22"/>
  <c r="H120" i="22"/>
  <c r="H127" i="22"/>
  <c r="H131" i="22"/>
  <c r="C136" i="22"/>
  <c r="H137" i="22"/>
  <c r="I140" i="22"/>
  <c r="H141" i="22"/>
  <c r="D142" i="22"/>
  <c r="J145" i="22"/>
  <c r="C145" i="22"/>
  <c r="J146" i="22"/>
  <c r="I148" i="22"/>
  <c r="D149" i="22"/>
  <c r="H150" i="22"/>
  <c r="I152" i="22"/>
  <c r="D153" i="22"/>
  <c r="I155" i="22"/>
  <c r="H155" i="22"/>
  <c r="D155" i="22"/>
  <c r="J155" i="22"/>
  <c r="C155" i="22"/>
  <c r="H158" i="22"/>
  <c r="D158" i="22"/>
  <c r="J158" i="22"/>
  <c r="C158" i="22"/>
  <c r="I158" i="22"/>
  <c r="J163" i="22"/>
  <c r="C163" i="22"/>
  <c r="I163" i="22"/>
  <c r="H163" i="22"/>
  <c r="D163" i="22"/>
  <c r="J167" i="22"/>
  <c r="C167" i="22"/>
  <c r="I167" i="22"/>
  <c r="H167" i="22"/>
  <c r="D167" i="22"/>
  <c r="J171" i="22"/>
  <c r="C171" i="22"/>
  <c r="I171" i="22"/>
  <c r="H171" i="22"/>
  <c r="D171" i="22"/>
  <c r="J174" i="22"/>
  <c r="C174" i="22"/>
  <c r="I174" i="22"/>
  <c r="H174" i="22"/>
  <c r="D174" i="22"/>
  <c r="J178" i="22"/>
  <c r="C178" i="22"/>
  <c r="I178" i="22"/>
  <c r="H178" i="22"/>
  <c r="D178" i="22"/>
  <c r="J182" i="22"/>
  <c r="C182" i="22"/>
  <c r="I182" i="22"/>
  <c r="H182" i="22"/>
  <c r="D182" i="22"/>
  <c r="H187" i="22"/>
  <c r="D187" i="22"/>
  <c r="J187" i="22"/>
  <c r="C187" i="22"/>
  <c r="I187" i="22"/>
  <c r="I192" i="22"/>
  <c r="H192" i="22"/>
  <c r="D192" i="22"/>
  <c r="J192" i="22"/>
  <c r="C192" i="22"/>
  <c r="J139" i="22"/>
  <c r="C139" i="22"/>
  <c r="J140" i="22"/>
  <c r="I141" i="22"/>
  <c r="I142" i="22"/>
  <c r="J147" i="22"/>
  <c r="C147" i="22"/>
  <c r="J148" i="22"/>
  <c r="J149" i="22"/>
  <c r="J152" i="22"/>
  <c r="J153" i="22"/>
  <c r="I159" i="22"/>
  <c r="H159" i="22"/>
  <c r="D159" i="22"/>
  <c r="J159" i="22"/>
  <c r="C159" i="22"/>
  <c r="D164" i="22"/>
  <c r="J164" i="22"/>
  <c r="C164" i="22"/>
  <c r="I164" i="22"/>
  <c r="H164" i="22"/>
  <c r="D168" i="22"/>
  <c r="J168" i="22"/>
  <c r="C168" i="22"/>
  <c r="I168" i="22"/>
  <c r="H168" i="22"/>
  <c r="D175" i="22"/>
  <c r="J175" i="22"/>
  <c r="C175" i="22"/>
  <c r="I175" i="22"/>
  <c r="H175" i="22"/>
  <c r="D179" i="22"/>
  <c r="J179" i="22"/>
  <c r="C179" i="22"/>
  <c r="I179" i="22"/>
  <c r="H179" i="22"/>
  <c r="D183" i="22"/>
  <c r="J183" i="22"/>
  <c r="C183" i="22"/>
  <c r="I183" i="22"/>
  <c r="H183" i="22"/>
  <c r="I188" i="22"/>
  <c r="H188" i="22"/>
  <c r="D188" i="22"/>
  <c r="J188" i="22"/>
  <c r="C188" i="22"/>
  <c r="J197" i="22"/>
  <c r="D197" i="22"/>
  <c r="C197" i="22"/>
  <c r="D156" i="22"/>
  <c r="H160" i="22"/>
  <c r="I172" i="22"/>
  <c r="C184" i="22"/>
  <c r="J184" i="22"/>
  <c r="D185" i="22"/>
  <c r="D189" i="22"/>
  <c r="D196" i="22"/>
  <c r="H156" i="22"/>
  <c r="C172" i="22"/>
  <c r="J172" i="22"/>
  <c r="D184" i="22"/>
  <c r="H185" i="22"/>
  <c r="H189" i="22"/>
  <c r="J196" i="22"/>
  <c r="I156" i="22"/>
  <c r="H184" i="22"/>
  <c r="C156" i="22"/>
  <c r="I4" i="22"/>
  <c r="H4" i="22"/>
  <c r="J4" i="22"/>
  <c r="C4" i="22"/>
  <c r="D4" i="22"/>
  <c r="I22" i="22"/>
  <c r="H22" i="22"/>
  <c r="D22" i="22"/>
  <c r="J22" i="22"/>
  <c r="C22" i="22"/>
  <c r="I18" i="22"/>
  <c r="H18" i="22"/>
  <c r="D18" i="22"/>
  <c r="J18" i="22"/>
  <c r="C18" i="22"/>
  <c r="D20" i="22"/>
  <c r="J20" i="22"/>
  <c r="C20" i="22"/>
  <c r="I20" i="22"/>
  <c r="H20" i="22"/>
  <c r="J8" i="22"/>
  <c r="D8" i="22"/>
  <c r="I8" i="22"/>
  <c r="C8" i="22"/>
  <c r="H8" i="22"/>
  <c r="J12" i="22"/>
  <c r="D12" i="22"/>
  <c r="I12" i="22"/>
  <c r="C12" i="22"/>
  <c r="H12" i="22"/>
  <c r="D16" i="22"/>
  <c r="J16" i="22"/>
  <c r="C16" i="22"/>
  <c r="I16" i="22"/>
  <c r="H16" i="22"/>
  <c r="D28" i="22"/>
  <c r="J28" i="22"/>
  <c r="C28" i="22"/>
  <c r="I28" i="22"/>
  <c r="H28" i="22"/>
  <c r="I30" i="22"/>
  <c r="H30" i="22"/>
  <c r="D30" i="22"/>
  <c r="J30" i="22"/>
  <c r="C30" i="22"/>
  <c r="D32" i="22"/>
  <c r="J32" i="22"/>
  <c r="C32" i="22"/>
  <c r="I32" i="22"/>
  <c r="H32" i="22"/>
  <c r="I34" i="22"/>
  <c r="H34" i="22"/>
  <c r="D34" i="22"/>
  <c r="J34" i="22"/>
  <c r="C34" i="22"/>
  <c r="D36" i="22"/>
  <c r="J36" i="22"/>
  <c r="C36" i="22"/>
  <c r="I36" i="22"/>
  <c r="H36" i="22"/>
  <c r="I38" i="22"/>
  <c r="H38" i="22"/>
  <c r="D38" i="22"/>
  <c r="J38" i="22"/>
  <c r="C38" i="22"/>
  <c r="D40" i="22"/>
  <c r="J40" i="22"/>
  <c r="C40" i="22"/>
  <c r="I40" i="22"/>
  <c r="H40" i="22"/>
  <c r="I42" i="22"/>
  <c r="H42" i="22"/>
  <c r="D42" i="22"/>
  <c r="J42" i="22"/>
  <c r="C42" i="22"/>
  <c r="D44" i="22"/>
  <c r="J44" i="22"/>
  <c r="C44" i="22"/>
  <c r="I44" i="22"/>
  <c r="H44" i="22"/>
  <c r="I46" i="22"/>
  <c r="H46" i="22"/>
  <c r="D46" i="22"/>
  <c r="J46" i="22"/>
  <c r="C46" i="22"/>
  <c r="D48" i="22"/>
  <c r="J48" i="22"/>
  <c r="C48" i="22"/>
  <c r="I48" i="22"/>
  <c r="H48" i="22"/>
  <c r="H6" i="22"/>
  <c r="I6" i="22"/>
  <c r="C6" i="22"/>
  <c r="J6" i="22"/>
  <c r="D6" i="22"/>
  <c r="H10" i="22"/>
  <c r="J10" i="22"/>
  <c r="D10" i="22"/>
  <c r="I10" i="22"/>
  <c r="C10" i="22"/>
  <c r="H14" i="22"/>
  <c r="J14" i="22"/>
  <c r="D14" i="22"/>
  <c r="I14" i="22"/>
  <c r="C14" i="22"/>
  <c r="H56" i="22"/>
  <c r="D56" i="22"/>
  <c r="J56" i="22"/>
  <c r="C56" i="22"/>
  <c r="I56" i="22"/>
  <c r="H11" i="22"/>
  <c r="I17" i="22"/>
  <c r="I21" i="22"/>
  <c r="I24" i="22"/>
  <c r="I26" i="22"/>
  <c r="I52" i="22"/>
  <c r="H15" i="22"/>
  <c r="C7" i="22"/>
  <c r="I7" i="22"/>
  <c r="C11" i="22"/>
  <c r="I11" i="22"/>
  <c r="C15" i="22"/>
  <c r="I15" i="22"/>
  <c r="C17" i="22"/>
  <c r="J17" i="22"/>
  <c r="H19" i="22"/>
  <c r="C21" i="22"/>
  <c r="J21" i="22"/>
  <c r="H23" i="22"/>
  <c r="C24" i="22"/>
  <c r="J24" i="22"/>
  <c r="H25" i="22"/>
  <c r="C26" i="22"/>
  <c r="J26" i="22"/>
  <c r="H27" i="22"/>
  <c r="H31" i="22"/>
  <c r="H35" i="22"/>
  <c r="C52" i="22"/>
  <c r="J52" i="22"/>
  <c r="H7" i="22"/>
  <c r="D7" i="22"/>
  <c r="H9" i="22"/>
  <c r="D15" i="22"/>
  <c r="D17" i="22"/>
  <c r="I23" i="22"/>
  <c r="D24" i="22"/>
  <c r="I25" i="22"/>
  <c r="D26" i="22"/>
  <c r="I27" i="22"/>
  <c r="I31" i="22"/>
  <c r="I35" i="22"/>
  <c r="H5" i="22"/>
  <c r="D11" i="22"/>
  <c r="H13" i="22"/>
  <c r="I19" i="22"/>
  <c r="D21" i="22"/>
  <c r="C5" i="22"/>
  <c r="C9" i="22"/>
  <c r="C13" i="22"/>
  <c r="C19" i="22"/>
  <c r="C23" i="22"/>
  <c r="C25" i="22"/>
  <c r="C27" i="22"/>
  <c r="C31" i="22"/>
  <c r="C35" i="2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Query - Final" description="Connection to the 'Final' query in the workbook." type="100" refreshedVersion="6" minRefreshableVersion="5">
    <extLst>
      <ext xmlns:x15="http://schemas.microsoft.com/office/spreadsheetml/2010/11/main" uri="{DE250136-89BD-433C-8126-D09CA5730AF9}">
        <x15:connection id="5ca4ffbb-b633-4299-8474-996578d46449"/>
      </ext>
    </extLst>
  </connection>
  <connection id="2" xr16:uid="{00000000-0015-0000-FFFF-FFFF01000000}"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<sst xmlns="http://schemas.openxmlformats.org/spreadsheetml/2006/main" count="4482" uniqueCount="182">
  <si>
    <t>Sun</t>
  </si>
  <si>
    <t>Mon</t>
  </si>
  <si>
    <t>Wed</t>
  </si>
  <si>
    <t>Fri</t>
  </si>
  <si>
    <t>Servicing And Security File received</t>
  </si>
  <si>
    <t>Project</t>
  </si>
  <si>
    <t>Jan</t>
  </si>
  <si>
    <t>Feb</t>
  </si>
  <si>
    <t>Data Month</t>
  </si>
  <si>
    <t>Mar</t>
  </si>
  <si>
    <t>Dec</t>
  </si>
  <si>
    <t>Due Date</t>
  </si>
  <si>
    <t>Apr</t>
  </si>
  <si>
    <t>May</t>
  </si>
  <si>
    <t>Aug</t>
  </si>
  <si>
    <t>Oct</t>
  </si>
  <si>
    <t>Nov</t>
  </si>
  <si>
    <t>New Year's Day</t>
  </si>
  <si>
    <t>Martin Luther King Jr. Birthday</t>
  </si>
  <si>
    <t>President's Day</t>
  </si>
  <si>
    <t>Memorial Day</t>
  </si>
  <si>
    <t>Tue</t>
  </si>
  <si>
    <t>Independence Day</t>
  </si>
  <si>
    <t>Labor Day</t>
  </si>
  <si>
    <t>Thu</t>
  </si>
  <si>
    <t>Thanksgiving Day</t>
  </si>
  <si>
    <t>Thanksgiving Friday</t>
  </si>
  <si>
    <t>Christmas Day</t>
  </si>
  <si>
    <t>New Year's Day Observed</t>
  </si>
  <si>
    <t>Day After Christmas Day</t>
  </si>
  <si>
    <t>Day</t>
  </si>
  <si>
    <t>Data Month #</t>
  </si>
  <si>
    <t>Data Year</t>
  </si>
  <si>
    <t>US Holiday</t>
  </si>
  <si>
    <t>Due date Note</t>
  </si>
  <si>
    <t>1st Friday of each month</t>
  </si>
  <si>
    <t>1st Tuesday of each month</t>
  </si>
  <si>
    <t>12th of each Month</t>
  </si>
  <si>
    <t>19th of each month</t>
  </si>
  <si>
    <t>25th of each month</t>
  </si>
  <si>
    <t>10th of each month</t>
  </si>
  <si>
    <t>Owner</t>
  </si>
  <si>
    <t>Frequency</t>
  </si>
  <si>
    <t>REAS</t>
  </si>
  <si>
    <t>Monthly</t>
  </si>
  <si>
    <t>11th of each month</t>
  </si>
  <si>
    <t>14th of each month</t>
  </si>
  <si>
    <t>16th of each month</t>
  </si>
  <si>
    <t>18th of each month</t>
  </si>
  <si>
    <t>20th of each month</t>
  </si>
  <si>
    <t>21st of each month</t>
  </si>
  <si>
    <t>Due date Slicer</t>
  </si>
  <si>
    <t>1st of each month</t>
  </si>
  <si>
    <t>Christmas Eve (2016 additional holiday)</t>
  </si>
  <si>
    <t>Day Before New Year’s Eve (2016 additional holiday)</t>
  </si>
  <si>
    <t>India Holiday</t>
  </si>
  <si>
    <t>Republic Day</t>
  </si>
  <si>
    <t>Ugadi</t>
  </si>
  <si>
    <t>May Day</t>
  </si>
  <si>
    <t>Ramzan</t>
  </si>
  <si>
    <t>Ayudha Pooja/Maha Navami</t>
  </si>
  <si>
    <t>Gandhi Jayanti</t>
  </si>
  <si>
    <t>Diwali</t>
  </si>
  <si>
    <t>Kannada Rajyotsav</t>
  </si>
  <si>
    <t>Christmas</t>
  </si>
  <si>
    <t>Last Tuesday of each month</t>
  </si>
  <si>
    <t>13th of each month</t>
  </si>
  <si>
    <t>Day Before Independence Day</t>
  </si>
  <si>
    <t>As</t>
  </si>
  <si>
    <t>Current</t>
  </si>
  <si>
    <t>Jun</t>
  </si>
  <si>
    <t>Jul</t>
  </si>
  <si>
    <t>Sep</t>
  </si>
  <si>
    <t>Around 8th of each month</t>
  </si>
  <si>
    <t>Country</t>
  </si>
  <si>
    <t>Date</t>
  </si>
  <si>
    <t>DDD</t>
  </si>
  <si>
    <t>Holiday</t>
  </si>
  <si>
    <t>Reference Year</t>
  </si>
  <si>
    <t>Notes:</t>
  </si>
  <si>
    <t>1st Friday of Each Month</t>
  </si>
  <si>
    <r>
      <t xml:space="preserve">10th of Each Month </t>
    </r>
    <r>
      <rPr>
        <sz val="11"/>
        <color theme="1"/>
        <rFont val="Calibri"/>
        <family val="2"/>
        <scheme val="minor"/>
      </rPr>
      <t>(Task: Conduct RAM Table QC and open OPAS request in R&amp;D)</t>
    </r>
  </si>
  <si>
    <t>Yes</t>
  </si>
  <si>
    <t>Reconciled to Calandar?</t>
  </si>
  <si>
    <t>10th is a weekend. Formula lands on Monday</t>
  </si>
  <si>
    <r>
      <t xml:space="preserve">11th of Each Month </t>
    </r>
    <r>
      <rPr>
        <sz val="11"/>
        <color theme="1"/>
        <rFont val="Calibri"/>
        <family val="2"/>
        <scheme val="minor"/>
      </rPr>
      <t>(Task: Total Sales Delivery)</t>
    </r>
  </si>
  <si>
    <t>15th of each month</t>
  </si>
  <si>
    <t>11th is a weekend. Formula lands on Monday</t>
  </si>
  <si>
    <r>
      <t xml:space="preserve">12th of Each Month </t>
    </r>
    <r>
      <rPr>
        <sz val="11"/>
        <color theme="1"/>
        <rFont val="Calibri"/>
        <family val="2"/>
        <scheme val="minor"/>
      </rPr>
      <t>(Task: Public Data Pull)</t>
    </r>
  </si>
  <si>
    <r>
      <t xml:space="preserve">14th of Each Month </t>
    </r>
    <r>
      <rPr>
        <sz val="11"/>
        <color theme="1"/>
        <rFont val="Calibri"/>
        <family val="2"/>
        <scheme val="minor"/>
      </rPr>
      <t>(Task: Generate Distribution scores)</t>
    </r>
  </si>
  <si>
    <r>
      <t xml:space="preserve">15th of Each Month </t>
    </r>
    <r>
      <rPr>
        <sz val="11"/>
        <color theme="1"/>
        <rFont val="Calibri"/>
        <family val="2"/>
        <scheme val="minor"/>
      </rPr>
      <t>(Task: QA Process Start)</t>
    </r>
  </si>
  <si>
    <r>
      <t xml:space="preserve">16th of Each Month </t>
    </r>
    <r>
      <rPr>
        <sz val="11"/>
        <color theme="1"/>
        <rFont val="Calibri"/>
        <family val="2"/>
        <scheme val="minor"/>
      </rPr>
      <t>(Task: Control M job kicks off)</t>
    </r>
  </si>
  <si>
    <t>Splits</t>
  </si>
  <si>
    <r>
      <t xml:space="preserve">18th of Each Month </t>
    </r>
    <r>
      <rPr>
        <sz val="11"/>
        <color theme="1"/>
        <rFont val="Calibri"/>
        <family val="2"/>
        <scheme val="minor"/>
      </rPr>
      <t>(Task: Moving Tables for QC Review/GreenPlum Load)</t>
    </r>
  </si>
  <si>
    <t>Only went from 1/1/17 - 7/1/17</t>
  </si>
  <si>
    <r>
      <t xml:space="preserve">1st of each month </t>
    </r>
    <r>
      <rPr>
        <sz val="11"/>
        <color theme="1"/>
        <rFont val="Calibri"/>
        <family val="2"/>
        <scheme val="minor"/>
      </rPr>
      <t>(Task: Control M job kicks off)</t>
    </r>
  </si>
  <si>
    <r>
      <t xml:space="preserve">21st of each month </t>
    </r>
    <r>
      <rPr>
        <sz val="11"/>
        <color theme="1"/>
        <rFont val="Calibri"/>
        <family val="2"/>
        <scheme val="minor"/>
      </rPr>
      <t>(Task: Deliver to EDG)</t>
    </r>
  </si>
  <si>
    <t>22st of each month</t>
  </si>
  <si>
    <r>
      <t xml:space="preserve">22st of each month </t>
    </r>
    <r>
      <rPr>
        <sz val="11"/>
        <color theme="1"/>
        <rFont val="Calibri"/>
        <family val="2"/>
        <scheme val="minor"/>
      </rPr>
      <t>(Task: HPI HPIF, LSCM HPI, HPIF_CCAR  delivery to ETL)</t>
    </r>
  </si>
  <si>
    <r>
      <t xml:space="preserve">25th of each month </t>
    </r>
    <r>
      <rPr>
        <sz val="11"/>
        <color theme="1"/>
        <rFont val="Calibri"/>
        <family val="2"/>
        <scheme val="minor"/>
      </rPr>
      <t>(Task: LT Product Release-["Month"] data)</t>
    </r>
  </si>
  <si>
    <t>Last Tuesday of Each Month</t>
  </si>
  <si>
    <t>Last Left off</t>
  </si>
  <si>
    <t>Lands on sunday</t>
  </si>
  <si>
    <t>PRESIDENTS DAY!!!</t>
  </si>
  <si>
    <t>Indian Holiday</t>
  </si>
  <si>
    <t>1st Tuesday of Each Month</t>
  </si>
  <si>
    <r>
      <t xml:space="preserve">Within 5 Business Days In Each Month </t>
    </r>
    <r>
      <rPr>
        <sz val="11"/>
        <color theme="1"/>
        <rFont val="Calibri"/>
        <family val="2"/>
        <scheme val="minor"/>
      </rPr>
      <t>(Task: Generate Geo Mappper)</t>
    </r>
  </si>
  <si>
    <r>
      <t xml:space="preserve">Around 8th of Each Month </t>
    </r>
    <r>
      <rPr>
        <sz val="11"/>
        <color theme="1"/>
        <rFont val="Calibri"/>
        <family val="2"/>
        <scheme val="minor"/>
      </rPr>
      <t>(Task: Process starts)</t>
    </r>
  </si>
  <si>
    <t>Within 5 Business Days In Each Month</t>
  </si>
  <si>
    <t>10</t>
  </si>
  <si>
    <t>11</t>
  </si>
  <si>
    <t>12</t>
  </si>
  <si>
    <t>D.I.P.Y?</t>
  </si>
  <si>
    <t>01</t>
  </si>
  <si>
    <t>02</t>
  </si>
  <si>
    <t>03</t>
  </si>
  <si>
    <t>04</t>
  </si>
  <si>
    <t>05</t>
  </si>
  <si>
    <t>06</t>
  </si>
  <si>
    <t>07</t>
  </si>
  <si>
    <t>08</t>
  </si>
  <si>
    <t>09</t>
  </si>
  <si>
    <t>TRUE</t>
  </si>
  <si>
    <t>Reference Year:</t>
  </si>
  <si>
    <t>Today Date:</t>
  </si>
  <si>
    <t>=DATE(year, month, day)</t>
  </si>
  <si>
    <t>=DATE(2017,1,1)</t>
  </si>
  <si>
    <t>Final:</t>
  </si>
  <si>
    <t>=TEXT(WORKDAY(CEILING(EOMONTH(DATE($C$1,1,1),-1)-5,7)+6-1,1),"MM/DD/YY")</t>
  </si>
  <si>
    <t>=CEILING(number, significance)</t>
  </si>
  <si>
    <t>=EOMONTH(start_date, months)</t>
  </si>
  <si>
    <t>Returns the serial number of the last day of the month before or after a specified number of months.</t>
  </si>
  <si>
    <t>Returns the number that represents the date in Microsoft Excel date-time code.</t>
  </si>
  <si>
    <t>Rounds a number up, to the nearest integer or to the nearest multiple of significance.</t>
  </si>
  <si>
    <t>=WORKDAY(start_date, days, [holidays])</t>
  </si>
  <si>
    <t>Returns the cerial number of the date before or after a specified number of workdays.</t>
  </si>
  <si>
    <t>=TEXT(CEILING(DATE(2019,1,1),7)+6,"MM/DD/YY")</t>
  </si>
  <si>
    <t>FORMULA BREAKDOWN</t>
  </si>
  <si>
    <t>=EOMONTH(start_date, months)-5</t>
  </si>
  <si>
    <t>=EOMONTH(DATE($C$1,1,1),-1)-5</t>
  </si>
  <si>
    <t>=EOMONTH(DATE(2017,1,1),-1)</t>
  </si>
  <si>
    <t>=CEILING(EOMONTH(DATE($C$1,1,1),-1)-5,7)</t>
  </si>
  <si>
    <t>=CEILING(number, significance) +6 -1</t>
  </si>
  <si>
    <t>=WORKDAY(CEILING(EOMONTH(DATE($C$1,1,1),-1)-5,7)+6-1,1)</t>
  </si>
  <si>
    <t>Owner A</t>
  </si>
  <si>
    <t>Owner B</t>
  </si>
  <si>
    <t>Owner C</t>
  </si>
  <si>
    <t>Owner D</t>
  </si>
  <si>
    <t>Owner E</t>
  </si>
  <si>
    <t>Owner F</t>
  </si>
  <si>
    <t>Owner G</t>
  </si>
  <si>
    <t>Owner H</t>
  </si>
  <si>
    <t>Ower I</t>
  </si>
  <si>
    <t>Owner J</t>
  </si>
  <si>
    <t>Owner K</t>
  </si>
  <si>
    <t>Owner L</t>
  </si>
  <si>
    <t>Owern M</t>
  </si>
  <si>
    <t>Owner N</t>
  </si>
  <si>
    <t>Owner O</t>
  </si>
  <si>
    <t>Owner P</t>
  </si>
  <si>
    <t>Owner Q</t>
  </si>
  <si>
    <t>Owner R</t>
  </si>
  <si>
    <t>Owner S</t>
  </si>
  <si>
    <t>Owner T</t>
  </si>
  <si>
    <t>Owner U</t>
  </si>
  <si>
    <t>Owner V</t>
  </si>
  <si>
    <t>Owner W</t>
  </si>
  <si>
    <t>Refresh ALL Data Tables:</t>
  </si>
  <si>
    <t>FALSE</t>
  </si>
  <si>
    <t>2019</t>
  </si>
  <si>
    <t>Project 1</t>
  </si>
  <si>
    <t>Project 2</t>
  </si>
  <si>
    <t>Project 3</t>
  </si>
  <si>
    <t>Project 4</t>
  </si>
  <si>
    <t>Project 5</t>
  </si>
  <si>
    <t>Project 6</t>
  </si>
  <si>
    <t>Project 7</t>
  </si>
  <si>
    <t>Project 8</t>
  </si>
  <si>
    <t>13th of Each Month (Task: Releasing Project 2s in R&amp;D)</t>
  </si>
  <si>
    <t>20th of each month (Task: Project 3 Product Delivery)</t>
  </si>
  <si>
    <t>19th of Each Month (Task: Project 6 Product Delivery)</t>
  </si>
  <si>
    <t>2019 Project Calendar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</si>
</sst>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mm/dd/yy"/>
  </numFmts>
  <fonts count="7" x14ac:knownFonts="1">
    <font>
      <sz val="11"/>
      <color theme="1"/>
      <name val="Calibri"/>
      <family val="2"/>
      <scheme val="minor"/>
    </font>
    <font>
      <b/>
      <sz val="11"/>
      <color theme="1"/>
      <name val="Calibri"/>
      <family val="2"/>
      <scheme val="minor"/>
    </font>
    <font>
      <sz val="11"/>
      <name val="Calibri"/>
      <family val="2"/>
      <scheme val="minor"/>
    </font>
    <font>
      <b/>
      <sz val="11"/>
      <color rgb="FFFFFFFF"/>
      <name val="Calibri"/>
      <family val="2"/>
      <scheme val="minor"/>
    </font>
    <font>
      <u/>
      <sz val="11"/>
      <color theme="10"/>
      <name val="Calibri"/>
      <family val="2"/>
      <scheme val="minor"/>
    </font>
    <font>
      <sz val="11"/>
      <color rgb="FF000000"/>
      <name val="Calibri"/>
      <family val="2"/>
    </font>
    <font>
      <b/>
      <sz val="20"/>
      <color rgb="FF000000"/>
      <name val="Calibri"/>
      <family val="2"/>
      <scheme val="minor"/>
    </font>
  </fonts>
  <fills count="8">
    <fill>
      <patternFill patternType="none"/>
    </fill>
    <fill>
      <patternFill patternType="gray125"/>
    </fill>
    <fill>
      <patternFill patternType="solid">
        <fgColor rgb="FFFFFF00"/>
        <bgColor indexed="64"/>
      </patternFill>
    </fill>
    <fill>
      <patternFill patternType="solid">
        <fgColor rgb="FF000080"/>
        <bgColor indexed="64"/>
      </patternFill>
    </fill>
    <fill>
      <patternFill patternType="solid">
        <fgColor theme="0" tint="-0.14999847407452621"/>
        <bgColor indexed="64"/>
      </patternFill>
    </fill>
    <fill>
      <patternFill patternType="solid">
        <fgColor theme="9"/>
        <bgColor indexed="64"/>
      </patternFill>
    </fill>
    <fill>
      <patternFill patternType="solid">
        <fgColor rgb="FF70AD15"/>
        <bgColor indexed="64"/>
      </patternFill>
    </fill>
    <fill>
      <patternFill patternType="solid">
        <fgColor theme="3"/>
        <bgColor indexed="64"/>
      </patternFill>
    </fill>
  </fills>
  <borders count="3">
    <border>
      <left/>
      <right/>
      <top/>
      <bottom/>
      <diagonal/>
    </border>
    <border>
      <left/>
      <right/>
      <top/>
      <bottom style="thin">
        <color rgb="FF000000"/>
      </bottom>
      <diagonal/>
    </border>
    <border>
      <left style="thin">
        <color rgb="FF70AD15"/>
      </left>
      <right style="thin">
        <color rgb="FF70AD15"/>
      </right>
      <top style="thin">
        <color rgb="FF70AD15"/>
      </top>
      <bottom style="thin">
        <color rgb="FF70AD15"/>
      </bottom>
      <diagonal/>
    </border>
  </borders>
  <cellStyleXfs count="2">
    <xf numFmtId="0" fontId="0" fillId="0" borderId="0"/>
    <xf numFmtId="0" fontId="4" fillId="0" borderId="0" applyNumberFormat="0" applyFill="0" applyBorder="0" applyAlignment="0" applyProtection="0"/>
  </cellStyleXfs>
  <cellXfs count="71">
    <xf numFmtId="0" fontId="0" fillId="0" borderId="0" xfId="0"/>
    <xf numFmtId="0" fontId="0" fillId="0" borderId="0" xfId="0" applyNumberFormat="1" applyAlignment="1">
      <alignment vertical="center" wrapText="1"/>
    </xf>
    <xf numFmtId="14" fontId="0" fillId="0" borderId="0" xfId="0" applyNumberFormat="1" applyFont="1" applyAlignment="1">
      <alignment horizontal="left" vertical="center" wrapText="1"/>
    </xf>
    <xf numFmtId="0" fontId="0" fillId="0" borderId="0" xfId="0" applyNumberFormat="1" applyFont="1" applyAlignment="1">
      <alignment horizontal="left" vertical="center" wrapText="1"/>
    </xf>
    <xf numFmtId="0" fontId="0" fillId="0" borderId="0" xfId="0" applyAlignment="1">
      <alignment horizontal="left" vertical="center" wrapText="1"/>
    </xf>
    <xf numFmtId="14" fontId="0" fillId="0" borderId="0" xfId="0" applyNumberFormat="1" applyAlignment="1">
      <alignment horizontal="left" vertical="center" wrapText="1"/>
    </xf>
    <xf numFmtId="0" fontId="0" fillId="0" borderId="0" xfId="0" applyNumberForma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14" fontId="0" fillId="0" borderId="0" xfId="0" applyNumberFormat="1" applyFill="1" applyAlignment="1">
      <alignment horizontal="left" vertical="center" wrapText="1"/>
    </xf>
    <xf numFmtId="0" fontId="0" fillId="0" borderId="0" xfId="0" applyNumberFormat="1" applyFill="1" applyAlignment="1">
      <alignment horizontal="left" vertical="center" wrapText="1"/>
    </xf>
    <xf numFmtId="0" fontId="0" fillId="0" borderId="0" xfId="0" applyFill="1" applyAlignment="1">
      <alignment horizontal="left" vertical="center" wrapText="1"/>
    </xf>
    <xf numFmtId="0" fontId="0" fillId="0" borderId="0" xfId="0" applyBorder="1" applyAlignment="1">
      <alignment horizontal="left" vertical="center" wrapText="1"/>
    </xf>
    <xf numFmtId="0" fontId="0" fillId="0" borderId="0" xfId="0" applyFill="1"/>
    <xf numFmtId="0" fontId="1" fillId="0" borderId="0" xfId="0" applyFont="1" applyAlignment="1">
      <alignment horizontal="left" vertical="center"/>
    </xf>
    <xf numFmtId="14" fontId="0" fillId="0" borderId="0" xfId="0" applyNumberFormat="1" applyFont="1" applyBorder="1" applyAlignment="1">
      <alignment horizontal="left" vertical="center" wrapText="1"/>
    </xf>
    <xf numFmtId="0" fontId="0" fillId="0" borderId="0" xfId="0" applyNumberFormat="1" applyFont="1" applyBorder="1" applyAlignment="1">
      <alignment horizontal="left" vertical="center" wrapText="1"/>
    </xf>
    <xf numFmtId="0" fontId="0" fillId="0" borderId="0" xfId="0" applyBorder="1"/>
    <xf numFmtId="0" fontId="3" fillId="3" borderId="0" xfId="0" applyFont="1" applyFill="1" applyBorder="1" applyAlignment="1">
      <alignment horizontal="left" vertical="center"/>
    </xf>
    <xf numFmtId="14" fontId="3" fillId="3" borderId="0" xfId="0" applyNumberFormat="1" applyFont="1" applyFill="1" applyBorder="1" applyAlignment="1">
      <alignment horizontal="left" vertical="center"/>
    </xf>
    <xf numFmtId="0" fontId="3" fillId="3" borderId="0" xfId="0" applyFont="1" applyFill="1" applyBorder="1"/>
    <xf numFmtId="0" fontId="3" fillId="0" borderId="0" xfId="0" applyFont="1" applyFill="1" applyBorder="1"/>
    <xf numFmtId="0" fontId="0" fillId="0" borderId="0" xfId="0" applyFill="1" applyBorder="1"/>
    <xf numFmtId="0" fontId="0" fillId="0" borderId="0" xfId="0" applyFill="1" applyAlignment="1">
      <alignment horizontal="left" vertical="center"/>
    </xf>
    <xf numFmtId="164" fontId="0" fillId="0" borderId="0" xfId="0" applyNumberFormat="1"/>
    <xf numFmtId="0" fontId="1" fillId="0" borderId="0" xfId="0" applyFont="1" applyFill="1"/>
    <xf numFmtId="0" fontId="0" fillId="0" borderId="0" xfId="0" applyFont="1" applyFill="1"/>
    <xf numFmtId="14" fontId="0" fillId="0" borderId="0" xfId="0" applyNumberFormat="1" applyFill="1"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Fill="1" applyBorder="1" applyAlignment="1">
      <alignment horizontal="left" vertical="center" wrapText="1"/>
    </xf>
    <xf numFmtId="0" fontId="1" fillId="4" borderId="0" xfId="0" applyFont="1" applyFill="1" applyBorder="1" applyAlignment="1">
      <alignment horizontal="left" vertical="center"/>
    </xf>
    <xf numFmtId="0" fontId="1" fillId="4" borderId="0" xfId="0" applyNumberFormat="1" applyFont="1" applyFill="1" applyBorder="1" applyAlignment="1">
      <alignment horizontal="left" vertical="center"/>
    </xf>
    <xf numFmtId="0" fontId="1" fillId="0" borderId="0" xfId="0" applyFont="1" applyFill="1" applyBorder="1" applyAlignment="1">
      <alignment horizontal="left" vertical="center"/>
    </xf>
    <xf numFmtId="0" fontId="1" fillId="0" borderId="0" xfId="0" applyNumberFormat="1" applyFont="1" applyFill="1" applyBorder="1" applyAlignment="1">
      <alignment horizontal="left" vertical="center"/>
    </xf>
    <xf numFmtId="0" fontId="1" fillId="0" borderId="0" xfId="0" applyFont="1" applyFill="1" applyAlignment="1">
      <alignment horizontal="left" vertical="center"/>
    </xf>
    <xf numFmtId="0" fontId="1" fillId="0" borderId="1" xfId="0" applyFont="1" applyFill="1" applyBorder="1" applyAlignment="1">
      <alignment horizontal="left" vertical="center"/>
    </xf>
    <xf numFmtId="0" fontId="1" fillId="0" borderId="1" xfId="0" applyNumberFormat="1" applyFont="1" applyFill="1" applyBorder="1" applyAlignment="1">
      <alignment horizontal="left" vertical="center"/>
    </xf>
    <xf numFmtId="0" fontId="0" fillId="0" borderId="0" xfId="0" applyFont="1" applyFill="1" applyBorder="1" applyAlignment="1">
      <alignment horizontal="left" vertical="center"/>
    </xf>
    <xf numFmtId="0" fontId="0" fillId="0" borderId="0" xfId="0" applyNumberFormat="1" applyFont="1" applyFill="1" applyBorder="1" applyAlignment="1">
      <alignment horizontal="left" vertical="center"/>
    </xf>
    <xf numFmtId="0" fontId="0" fillId="0" borderId="0" xfId="0" applyFont="1" applyFill="1" applyAlignment="1">
      <alignment horizontal="left" vertical="center"/>
    </xf>
    <xf numFmtId="0" fontId="0" fillId="0" borderId="0" xfId="0" quotePrefix="1" applyFont="1" applyFill="1"/>
    <xf numFmtId="0" fontId="4" fillId="0" borderId="0" xfId="1" applyFill="1" applyAlignment="1">
      <alignment horizontal="right"/>
    </xf>
    <xf numFmtId="0" fontId="1" fillId="2" borderId="0" xfId="0" applyFont="1" applyFill="1" applyAlignment="1">
      <alignment horizontal="left" vertical="center"/>
    </xf>
    <xf numFmtId="0" fontId="0" fillId="0" borderId="0" xfId="0" applyFont="1"/>
    <xf numFmtId="0" fontId="6" fillId="5" borderId="0" xfId="0" applyFont="1" applyFill="1"/>
    <xf numFmtId="0" fontId="0" fillId="5" borderId="0" xfId="0" applyFill="1"/>
    <xf numFmtId="14" fontId="0" fillId="0" borderId="0" xfId="0" applyNumberFormat="1" applyFill="1"/>
    <xf numFmtId="0" fontId="0" fillId="0" borderId="0" xfId="0" pivotButton="1"/>
    <xf numFmtId="164" fontId="0" fillId="5" borderId="0" xfId="0" applyNumberFormat="1" applyFill="1"/>
    <xf numFmtId="164" fontId="0" fillId="6" borderId="2" xfId="0" applyNumberFormat="1" applyFill="1" applyBorder="1"/>
    <xf numFmtId="0" fontId="0" fillId="6" borderId="2" xfId="0" applyFill="1" applyBorder="1"/>
    <xf numFmtId="0" fontId="1" fillId="0" borderId="0" xfId="0" applyFont="1"/>
    <xf numFmtId="0" fontId="1" fillId="7" borderId="0" xfId="0" applyFont="1" applyFill="1" applyAlignment="1">
      <alignment horizontal="left" vertical="center"/>
    </xf>
    <xf numFmtId="0" fontId="1" fillId="7" borderId="0" xfId="0" applyFont="1" applyFill="1" applyBorder="1" applyAlignment="1">
      <alignment horizontal="left" vertical="center"/>
    </xf>
    <xf numFmtId="0" fontId="1" fillId="7" borderId="0" xfId="0" applyNumberFormat="1" applyFont="1" applyFill="1" applyBorder="1" applyAlignment="1">
      <alignment horizontal="left" vertical="center"/>
    </xf>
    <xf numFmtId="14" fontId="1" fillId="0" borderId="0" xfId="0" quotePrefix="1" applyNumberFormat="1" applyFont="1" applyFill="1" applyBorder="1" applyAlignment="1">
      <alignment horizontal="left" vertical="center"/>
    </xf>
    <xf numFmtId="0" fontId="1" fillId="0" borderId="0" xfId="0" quotePrefix="1" applyFont="1" applyFill="1" applyBorder="1" applyAlignment="1">
      <alignment horizontal="left" vertical="center"/>
    </xf>
    <xf numFmtId="0" fontId="0" fillId="0" borderId="0" xfId="0" quotePrefix="1" applyFont="1" applyFill="1" applyBorder="1" applyAlignment="1">
      <alignment horizontal="left" vertical="center"/>
    </xf>
    <xf numFmtId="14" fontId="0" fillId="0" borderId="0" xfId="0" quotePrefix="1" applyNumberFormat="1" applyFont="1" applyFill="1" applyBorder="1" applyAlignment="1">
      <alignment horizontal="left" vertical="center"/>
    </xf>
    <xf numFmtId="14" fontId="1" fillId="0" borderId="0" xfId="0" applyNumberFormat="1" applyFont="1" applyFill="1" applyBorder="1" applyAlignment="1">
      <alignment horizontal="left" vertical="center" wrapText="1"/>
    </xf>
    <xf numFmtId="0" fontId="1" fillId="2" borderId="0" xfId="0" applyFont="1" applyFill="1" applyBorder="1" applyAlignment="1">
      <alignment horizontal="left" vertical="center"/>
    </xf>
    <xf numFmtId="0" fontId="1" fillId="0" borderId="0" xfId="0" quotePrefix="1" applyFont="1" applyFill="1"/>
    <xf numFmtId="14" fontId="0" fillId="0" borderId="0" xfId="0" applyNumberFormat="1" applyFill="1" applyBorder="1" applyAlignment="1">
      <alignment horizontal="left" vertical="center"/>
    </xf>
    <xf numFmtId="0" fontId="0" fillId="0" borderId="0" xfId="0" applyNumberFormat="1" applyFill="1" applyBorder="1" applyAlignment="1">
      <alignment horizontal="left" vertical="center"/>
    </xf>
    <xf numFmtId="0" fontId="0" fillId="0" borderId="0" xfId="0" applyFill="1" applyAlignment="1"/>
    <xf numFmtId="0" fontId="0" fillId="0" borderId="0" xfId="0" applyFill="1" applyBorder="1" applyAlignment="1">
      <alignment horizontal="left" vertical="center"/>
    </xf>
    <xf numFmtId="0" fontId="0" fillId="0" borderId="0" xfId="0" applyFont="1" applyFill="1" applyAlignment="1"/>
    <xf numFmtId="14" fontId="0" fillId="0" borderId="0" xfId="0" applyNumberFormat="1" applyFill="1" applyAlignment="1">
      <alignment horizontal="left" vertical="center"/>
    </xf>
    <xf numFmtId="0" fontId="5" fillId="0" borderId="0" xfId="0" applyFont="1" applyFill="1" applyAlignment="1">
      <alignment vertical="center"/>
    </xf>
    <xf numFmtId="0" fontId="2" fillId="0" borderId="0" xfId="0" applyFont="1" applyFill="1" applyAlignment="1">
      <alignment horizontal="left" vertical="center"/>
    </xf>
    <xf numFmtId="14" fontId="0" fillId="0" borderId="0" xfId="0" applyNumberFormat="1"/>
  </cellXfs>
  <cellStyles count="2">
    <cellStyle name="Hyperlink" xfId="1" builtinId="8"/>
    <cellStyle name="Normal" xfId="0" builtinId="0"/>
  </cellStyles>
  <dxfs count="234">
    <dxf>
      <font>
        <strike/>
      </font>
      <fill>
        <patternFill>
          <bgColor rgb="FFFF0000"/>
        </patternFill>
      </fill>
    </dxf>
    <dxf>
      <font>
        <strike/>
      </font>
      <fill>
        <patternFill>
          <bgColor rgb="FFFF0000"/>
        </patternFill>
      </fill>
    </dxf>
    <dxf>
      <fill>
        <patternFill patternType="none">
          <fgColor indexed="64"/>
          <bgColor auto="1"/>
        </patternFill>
      </fill>
      <alignment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textRotation="0" wrapText="0" indent="0" justifyLastLine="0" shrinkToFit="0" readingOrder="0"/>
    </dxf>
    <dxf>
      <fill>
        <patternFill patternType="none">
          <fgColor indexed="64"/>
          <bgColor auto="1"/>
        </patternFill>
      </fill>
      <alignment textRotation="0" wrapText="0" indent="0" justifyLastLine="0" shrinkToFit="0" readingOrder="0"/>
    </dxf>
    <dxf>
      <fill>
        <patternFill patternType="none">
          <fgColor indexed="64"/>
          <bgColor auto="1"/>
        </patternFill>
      </fill>
      <alignment textRotation="0" wrapText="0" indent="0" justifyLastLine="0" shrinkToFit="0" readingOrder="0"/>
    </dxf>
    <dxf>
      <fill>
        <patternFill patternType="none">
          <fgColor indexed="64"/>
          <bgColor auto="1"/>
        </patternFill>
      </fill>
      <alignment horizontal="left" vertical="center" textRotation="0" wrapText="0" indent="0" justifyLastLine="0" shrinkToFit="0" readingOrder="0"/>
    </dxf>
    <dxf>
      <numFmt numFmtId="19" formatCode="m/d/yyyy"/>
      <fill>
        <patternFill patternType="none">
          <fgColor indexed="64"/>
          <bgColor auto="1"/>
        </patternFill>
      </fill>
      <alignment horizontal="left" vertical="center" textRotation="0" wrapText="0" indent="0" justifyLastLine="0" shrinkToFit="0" readingOrder="0"/>
    </dxf>
    <dxf>
      <numFmt numFmtId="19" formatCode="m/d/yyyy"/>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textRotation="0" wrapText="0" indent="0" justifyLastLine="0" shrinkToFit="0" readingOrder="0"/>
    </dxf>
    <dxf>
      <fill>
        <patternFill patternType="none">
          <fgColor indexed="64"/>
          <bgColor auto="1"/>
        </patternFill>
      </fill>
      <alignment textRotation="0" wrapText="0" indent="0" justifyLastLine="0" shrinkToFit="0" readingOrder="0"/>
    </dxf>
    <dxf>
      <numFmt numFmtId="19" formatCode="m/d/yyyy"/>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3"/>
        </patternFill>
      </fill>
      <alignment horizontal="left" vertical="center" textRotation="0" wrapText="0" indent="0" justifyLastLine="0" shrinkToFit="0" readingOrder="0"/>
    </dxf>
    <dxf>
      <border>
        <left style="thin">
          <color rgb="FF70AD15"/>
        </left>
        <right style="thin">
          <color rgb="FF70AD15"/>
        </right>
        <top style="thin">
          <color rgb="FF70AD15"/>
        </top>
        <bottom style="thin">
          <color rgb="FF70AD15"/>
        </bottom>
        <vertical style="thin">
          <color rgb="FF70AD15"/>
        </vertical>
      </border>
    </dxf>
    <dxf>
      <border>
        <left style="thin">
          <color rgb="FF70AD15"/>
        </left>
        <right style="thin">
          <color rgb="FF70AD15"/>
        </right>
        <top style="thin">
          <color rgb="FF70AD15"/>
        </top>
        <bottom style="thin">
          <color rgb="FF70AD15"/>
        </bottom>
        <vertical style="thin">
          <color rgb="FF70AD15"/>
        </vertical>
      </border>
    </dxf>
    <dxf>
      <border>
        <left style="thin">
          <color rgb="FF70AD15"/>
        </left>
        <right style="thin">
          <color rgb="FF70AD15"/>
        </right>
        <top style="thin">
          <color rgb="FF70AD15"/>
        </top>
        <bottom style="thin">
          <color rgb="FF70AD15"/>
        </bottom>
        <vertical style="thin">
          <color rgb="FF70AD15"/>
        </vertical>
      </border>
    </dxf>
    <dxf>
      <border>
        <left style="thin">
          <color rgb="FF70AD15"/>
        </left>
        <right style="thin">
          <color rgb="FF70AD15"/>
        </right>
        <top style="thin">
          <color rgb="FF70AD15"/>
        </top>
        <bottom style="thin">
          <color rgb="FF70AD15"/>
        </bottom>
        <vertical style="thin">
          <color rgb="FF70AD15"/>
        </vertical>
      </border>
    </dxf>
    <dxf>
      <border>
        <left style="thin">
          <color rgb="FF70AD15"/>
        </left>
        <right style="thin">
          <color rgb="FF70AD15"/>
        </right>
        <top style="thin">
          <color rgb="FF70AD15"/>
        </top>
        <bottom style="thin">
          <color rgb="FF70AD15"/>
        </bottom>
        <vertical style="thin">
          <color rgb="FF70AD15"/>
        </vertical>
      </border>
    </dxf>
    <dxf>
      <border>
        <left style="thin">
          <color rgb="FF70AD15"/>
        </left>
        <right style="thin">
          <color rgb="FF70AD15"/>
        </right>
        <top style="thin">
          <color rgb="FF70AD15"/>
        </top>
        <bottom style="thin">
          <color rgb="FF70AD15"/>
        </bottom>
        <vertical style="thin">
          <color rgb="FF70AD15"/>
        </vertical>
      </border>
    </dxf>
    <dxf>
      <border>
        <left style="thin">
          <color rgb="FF70AD15"/>
        </left>
        <right style="thin">
          <color rgb="FF70AD15"/>
        </right>
        <top style="thin">
          <color rgb="FF70AD15"/>
        </top>
        <bottom style="thin">
          <color rgb="FF70AD15"/>
        </bottom>
        <vertical style="thin">
          <color rgb="FF70AD15"/>
        </vertical>
      </border>
    </dxf>
    <dxf>
      <border>
        <left style="thin">
          <color rgb="FF70AD15"/>
        </left>
        <right style="thin">
          <color rgb="FF70AD15"/>
        </right>
        <top style="thin">
          <color rgb="FF70AD15"/>
        </top>
        <bottom style="thin">
          <color rgb="FF70AD15"/>
        </bottom>
        <vertical style="thin">
          <color rgb="FF70AD15"/>
        </vertical>
      </border>
    </dxf>
    <dxf>
      <border>
        <left style="thin">
          <color rgb="FF70AD15"/>
        </left>
        <right style="thin">
          <color rgb="FF70AD15"/>
        </right>
        <top style="thin">
          <color rgb="FF70AD15"/>
        </top>
        <bottom style="thin">
          <color rgb="FF70AD15"/>
        </bottom>
        <vertical style="thin">
          <color rgb="FF70AD15"/>
        </vertical>
      </border>
    </dxf>
    <dxf>
      <fill>
        <patternFill patternType="solid">
          <bgColor rgb="FF70AD15"/>
        </patternFill>
      </fill>
    </dxf>
    <dxf>
      <fill>
        <patternFill patternType="solid">
          <bgColor rgb="FF70AD15"/>
        </patternFill>
      </fill>
    </dxf>
    <dxf>
      <fill>
        <patternFill patternType="solid">
          <bgColor rgb="FF70AD15"/>
        </patternFill>
      </fill>
    </dxf>
    <dxf>
      <fill>
        <patternFill patternType="solid">
          <bgColor rgb="FF70AD15"/>
        </patternFill>
      </fill>
    </dxf>
    <dxf>
      <fill>
        <patternFill patternType="solid">
          <bgColor rgb="FF70AD15"/>
        </patternFill>
      </fill>
    </dxf>
    <dxf>
      <fill>
        <patternFill patternType="solid">
          <bgColor rgb="FF70AD15"/>
        </patternFill>
      </fill>
    </dxf>
    <dxf>
      <fill>
        <patternFill patternType="solid">
          <bgColor rgb="FF70AD15"/>
        </patternFill>
      </fill>
    </dxf>
    <dxf>
      <fill>
        <patternFill patternType="solid">
          <bgColor rgb="FF70AD15"/>
        </patternFill>
      </fill>
    </dxf>
    <dxf>
      <fill>
        <patternFill patternType="solid">
          <bgColor rgb="FF70AD1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mm/dd/yy"/>
    </dxf>
    <dxf>
      <numFmt numFmtId="164" formatCode="mm/dd/yy"/>
    </dxf>
    <dxf>
      <numFmt numFmtId="164" formatCode="mm/dd/yy"/>
    </dxf>
    <dxf>
      <numFmt numFmtId="164" formatCode="mm/dd/yy"/>
    </dxf>
    <dxf>
      <numFmt numFmtId="164" formatCode="mm/dd/yy"/>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b/>
        <i val="0"/>
      </font>
      <fill>
        <patternFill>
          <bgColor rgb="FFD7D7D7"/>
        </patternFill>
      </fill>
    </dxf>
    <dxf>
      <font>
        <b val="0"/>
        <i val="0"/>
      </font>
      <fill>
        <patternFill patternType="none">
          <bgColor indexed="65"/>
        </patternFill>
      </fill>
    </dxf>
    <dxf>
      <font>
        <color theme="0"/>
      </font>
      <fill>
        <patternFill>
          <bgColor theme="9"/>
        </patternFill>
      </fill>
      <border>
        <left style="thin">
          <color theme="0"/>
        </left>
        <right style="thin">
          <color theme="0"/>
        </right>
        <top style="thin">
          <color theme="0"/>
        </top>
        <bottom style="thin">
          <color theme="0"/>
        </bottom>
      </border>
    </dxf>
    <dxf>
      <border>
        <left style="thin">
          <color theme="9"/>
        </left>
        <right style="thin">
          <color theme="9"/>
        </right>
        <top style="thin">
          <color theme="9"/>
        </top>
        <bottom style="thin">
          <color theme="9"/>
        </bottom>
        <vertical style="thin">
          <color theme="9"/>
        </vertical>
        <horizontal style="thin">
          <color theme="9"/>
        </horizontal>
      </border>
    </dxf>
  </dxfs>
  <tableStyles count="2" defaultTableStyle="TableStyleMedium2" defaultPivotStyle="PivotStyleLight16">
    <tableStyle name="APO Production Schedule" table="0" count="2" xr9:uid="{00000000-0011-0000-FFFF-FFFF00000000}">
      <tableStyleElement type="wholeTable" dxfId="233"/>
      <tableStyleElement type="headerRow" dxfId="232"/>
    </tableStyle>
    <tableStyle name="MySqlDefault" pivot="0" table="0" count="2" xr9:uid="{00000000-0011-0000-FFFF-FFFF01000000}">
      <tableStyleElement type="wholeTable" dxfId="231"/>
      <tableStyleElement type="headerRow" dxfId="230"/>
    </tableStyle>
  </tableStyles>
  <colors>
    <mruColors>
      <color rgb="FF70AD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alcChain" Target="calcChain.xml"/><Relationship Id="rId26" Type="http://schemas.openxmlformats.org/officeDocument/2006/relationships/customXml" Target="../customXml/item8.xml"/><Relationship Id="rId39" Type="http://schemas.openxmlformats.org/officeDocument/2006/relationships/customXml" Target="../customXml/item21.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externalLink" Target="externalLinks/externalLink1.xml"/><Relationship Id="rId12" Type="http://schemas.microsoft.com/office/2007/relationships/slicerCache" Target="slicerCaches/slicerCache3.xml"/><Relationship Id="rId17" Type="http://schemas.openxmlformats.org/officeDocument/2006/relationships/powerPivotData" Target="model/item.data"/><Relationship Id="rId25" Type="http://schemas.openxmlformats.org/officeDocument/2006/relationships/customXml" Target="../customXml/item7.xml"/><Relationship Id="rId33" Type="http://schemas.openxmlformats.org/officeDocument/2006/relationships/customXml" Target="../customXml/item15.xml"/><Relationship Id="rId38" Type="http://schemas.openxmlformats.org/officeDocument/2006/relationships/customXml" Target="../customXml/item20.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29" Type="http://schemas.openxmlformats.org/officeDocument/2006/relationships/customXml" Target="../customXml/item11.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customXml" Target="../customXml/item6.xml"/><Relationship Id="rId32" Type="http://schemas.openxmlformats.org/officeDocument/2006/relationships/customXml" Target="../customXml/item14.xml"/><Relationship Id="rId37" Type="http://schemas.openxmlformats.org/officeDocument/2006/relationships/customXml" Target="../customXml/item19.xml"/><Relationship Id="rId40" Type="http://schemas.openxmlformats.org/officeDocument/2006/relationships/customXml" Target="../customXml/item22.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5.xml"/><Relationship Id="rId28" Type="http://schemas.openxmlformats.org/officeDocument/2006/relationships/customXml" Target="../customXml/item10.xml"/><Relationship Id="rId36" Type="http://schemas.openxmlformats.org/officeDocument/2006/relationships/customXml" Target="../customXml/item18.xml"/><Relationship Id="rId10" Type="http://schemas.microsoft.com/office/2007/relationships/slicerCache" Target="slicerCaches/slicerCache1.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onnections" Target="connections.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openxmlformats.org/officeDocument/2006/relationships/customXml" Target="../customXml/item17.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18072</xdr:colOff>
      <xdr:row>4</xdr:row>
      <xdr:rowOff>6979</xdr:rowOff>
    </xdr:from>
    <xdr:to>
      <xdr:col>2</xdr:col>
      <xdr:colOff>2929</xdr:colOff>
      <xdr:row>18</xdr:row>
      <xdr:rowOff>69780</xdr:rowOff>
    </xdr:to>
    <mc:AlternateContent xmlns:mc="http://schemas.openxmlformats.org/markup-compatibility/2006" xmlns:a14="http://schemas.microsoft.com/office/drawing/2010/main">
      <mc:Choice Requires="a14">
        <xdr:graphicFrame macro="">
          <xdr:nvGraphicFramePr>
            <xdr:cNvPr id="3" name="Project 1">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Project 1"/>
            </a:graphicData>
          </a:graphic>
        </xdr:graphicFrame>
      </mc:Choice>
      <mc:Fallback xmlns="">
        <xdr:sp macro="" textlink="">
          <xdr:nvSpPr>
            <xdr:cNvPr id="0" name=""/>
            <xdr:cNvSpPr>
              <a:spLocks noTextEdit="1"/>
            </xdr:cNvSpPr>
          </xdr:nvSpPr>
          <xdr:spPr>
            <a:xfrm>
              <a:off x="115764" y="2228959"/>
              <a:ext cx="1828800" cy="19965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18072</xdr:colOff>
      <xdr:row>19</xdr:row>
      <xdr:rowOff>3248</xdr:rowOff>
    </xdr:from>
    <xdr:to>
      <xdr:col>2</xdr:col>
      <xdr:colOff>2929</xdr:colOff>
      <xdr:row>31</xdr:row>
      <xdr:rowOff>20933</xdr:rowOff>
    </xdr:to>
    <mc:AlternateContent xmlns:mc="http://schemas.openxmlformats.org/markup-compatibility/2006" xmlns:a14="http://schemas.microsoft.com/office/drawing/2010/main">
      <mc:Choice Requires="a14">
        <xdr:graphicFrame macro="">
          <xdr:nvGraphicFramePr>
            <xdr:cNvPr id="4" name="Owner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Owner 1"/>
            </a:graphicData>
          </a:graphic>
        </xdr:graphicFrame>
      </mc:Choice>
      <mc:Fallback xmlns="">
        <xdr:sp macro="" textlink="">
          <xdr:nvSpPr>
            <xdr:cNvPr id="0" name=""/>
            <xdr:cNvSpPr>
              <a:spLocks noTextEdit="1"/>
            </xdr:cNvSpPr>
          </xdr:nvSpPr>
          <xdr:spPr>
            <a:xfrm>
              <a:off x="115764" y="3575995"/>
              <a:ext cx="1945682" cy="22785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106822</xdr:colOff>
      <xdr:row>4</xdr:row>
      <xdr:rowOff>0</xdr:rowOff>
    </xdr:from>
    <xdr:to>
      <xdr:col>10</xdr:col>
      <xdr:colOff>46227</xdr:colOff>
      <xdr:row>8</xdr:row>
      <xdr:rowOff>152400</xdr:rowOff>
    </xdr:to>
    <mc:AlternateContent xmlns:mc="http://schemas.openxmlformats.org/markup-compatibility/2006" xmlns:a14="http://schemas.microsoft.com/office/drawing/2010/main">
      <mc:Choice Requires="a14">
        <xdr:graphicFrame macro="">
          <xdr:nvGraphicFramePr>
            <xdr:cNvPr id="5" name="Due date Slicer">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Due date Slicer"/>
            </a:graphicData>
          </a:graphic>
        </xdr:graphicFrame>
      </mc:Choice>
      <mc:Fallback xmlns="">
        <xdr:sp macro="" textlink="">
          <xdr:nvSpPr>
            <xdr:cNvPr id="0" name=""/>
            <xdr:cNvSpPr>
              <a:spLocks noTextEdit="1"/>
            </xdr:cNvSpPr>
          </xdr:nvSpPr>
          <xdr:spPr>
            <a:xfrm>
              <a:off x="2095166" y="523875"/>
              <a:ext cx="7801193"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7</xdr:row>
      <xdr:rowOff>0</xdr:rowOff>
    </xdr:from>
    <xdr:to>
      <xdr:col>6</xdr:col>
      <xdr:colOff>369731</xdr:colOff>
      <xdr:row>17</xdr:row>
      <xdr:rowOff>37857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8432132" y="1524000"/>
          <a:ext cx="1923810" cy="1942857"/>
        </a:xfrm>
        <a:prstGeom prst="rect">
          <a:avLst/>
        </a:prstGeom>
      </xdr:spPr>
    </xdr:pic>
    <xdr:clientData/>
  </xdr:twoCellAnchor>
  <xdr:twoCellAnchor editAs="oneCell">
    <xdr:from>
      <xdr:col>3</xdr:col>
      <xdr:colOff>1171644</xdr:colOff>
      <xdr:row>16</xdr:row>
      <xdr:rowOff>170447</xdr:rowOff>
    </xdr:from>
    <xdr:to>
      <xdr:col>6</xdr:col>
      <xdr:colOff>374344</xdr:colOff>
      <xdr:row>26</xdr:row>
      <xdr:rowOff>97399</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940606" y="3195530"/>
          <a:ext cx="2027257" cy="181762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48986</xdr:colOff>
          <xdr:row>1</xdr:row>
          <xdr:rowOff>48986</xdr:rowOff>
        </xdr:from>
        <xdr:to>
          <xdr:col>3</xdr:col>
          <xdr:colOff>555171</xdr:colOff>
          <xdr:row>2</xdr:row>
          <xdr:rowOff>179614</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Refresh ALL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relogic.sharepoint.com/sites/DART/Projects/AVM/AVM%20Analysis%20Templates/(3)%20Collaboration%20Projects/APO%20Production%20Calandar/Resources/(1)%202017%20APO%20Production%20Calendar%2010022017_draf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Production Schedule (New)"/>
      <sheetName val="Data Load"/>
      <sheetName val="Formula"/>
      <sheetName val="Holiday"/>
      <sheetName val="Basedates"/>
      <sheetName val="Developer Notes"/>
      <sheetName val="Test Dates"/>
      <sheetName val="Scenario 1"/>
      <sheetName val="Scenario 2"/>
    </sheetNames>
    <sheetDataSet>
      <sheetData sheetId="0"/>
      <sheetData sheetId="1"/>
      <sheetData sheetId="2"/>
      <sheetData sheetId="3"/>
      <sheetData sheetId="4">
        <row r="1">
          <cell r="A1">
            <v>42727</v>
          </cell>
        </row>
        <row r="2">
          <cell r="A2">
            <v>42730</v>
          </cell>
        </row>
        <row r="3">
          <cell r="A3">
            <v>42734</v>
          </cell>
        </row>
        <row r="4">
          <cell r="A4">
            <v>43094</v>
          </cell>
        </row>
        <row r="5">
          <cell r="A5">
            <v>43094</v>
          </cell>
        </row>
        <row r="6">
          <cell r="A6">
            <v>42919</v>
          </cell>
        </row>
        <row r="7">
          <cell r="A7">
            <v>42920</v>
          </cell>
        </row>
        <row r="8">
          <cell r="A8">
            <v>42982</v>
          </cell>
        </row>
        <row r="9">
          <cell r="A9">
            <v>42751</v>
          </cell>
        </row>
        <row r="10">
          <cell r="A10">
            <v>42884</v>
          </cell>
        </row>
        <row r="11">
          <cell r="A11">
            <v>42736</v>
          </cell>
        </row>
        <row r="12">
          <cell r="A12">
            <v>42737</v>
          </cell>
        </row>
        <row r="13">
          <cell r="A13">
            <v>42786</v>
          </cell>
        </row>
        <row r="14">
          <cell r="A14">
            <v>43062</v>
          </cell>
        </row>
        <row r="15">
          <cell r="A15">
            <v>43063</v>
          </cell>
        </row>
      </sheetData>
      <sheetData sheetId="5"/>
      <sheetData sheetId="6"/>
      <sheetData sheetId="7"/>
      <sheetData sheetId="8"/>
      <sheetData sheetId="9"/>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uben" refreshedDate="43623.94564027778" createdVersion="5" refreshedVersion="6" minRefreshableVersion="3" recordCount="0" supportSubquery="1" supportAdvancedDrill="1" xr:uid="{00000000-000A-0000-FFFF-FFFF3E000000}">
  <cacheSource type="external" connectionId="2"/>
  <cacheFields count="11">
    <cacheField name="[Final].[Due Date].[Due Date]" caption="Due Date" numFmtId="0" hierarchy="1" level="1">
      <sharedItems containsSemiMixedTypes="0" containsNonDate="0" containsDate="1" containsString="0" minDate="2019-01-01T00:00:00" maxDate="2020-01-01T00:00:00" count="177">
        <d v="2019-06-10T00:00:00"/>
        <d v="2019-06-11T00:00:00"/>
        <d v="2019-06-12T00:00:00"/>
        <d v="2019-06-13T00:00:00"/>
        <d v="2019-06-14T00:00:00"/>
        <d v="2019-06-17T00:00:00"/>
        <d v="2019-06-18T00:00:00"/>
        <d v="2019-06-19T00:00:00"/>
        <d v="2019-06-20T00:00:00"/>
        <d v="2019-06-21T00:00:00"/>
        <d v="2019-06-24T00:00:00"/>
        <d v="2019-06-25T00:00:00"/>
        <d v="2019-07-01T00:00:00"/>
        <d v="2019-07-05T00:00:00"/>
        <d v="2019-07-08T00:00:00"/>
        <d v="2019-07-09T00:00:00"/>
        <d v="2019-07-10T00:00:00"/>
        <d v="2019-07-11T00:00:00"/>
        <d v="2019-07-12T00:00:00"/>
        <d v="2019-07-15T00:00:00"/>
        <d v="2019-07-16T00:00:00"/>
        <d v="2019-07-18T00:00:00"/>
        <d v="2019-07-19T00:00:00"/>
        <d v="2019-07-22T00:00:00"/>
        <d v="2019-07-25T00:00:00"/>
        <d v="2019-07-30T00:00:00"/>
        <d v="2019-08-01T00:00:00"/>
        <d v="2019-08-02T00:00:00"/>
        <d v="2019-08-06T00:00:00"/>
        <d v="2019-08-08T00:00:00"/>
        <d v="2019-08-09T00:00:00"/>
        <d v="2019-08-12T00:00:00"/>
        <d v="2019-08-13T00:00:00"/>
        <d v="2019-08-14T00:00:00"/>
        <d v="2019-08-15T00:00:00"/>
        <d v="2019-08-16T00:00:00"/>
        <d v="2019-08-19T00:00:00"/>
        <d v="2019-08-20T00:00:00"/>
        <d v="2019-08-21T00:00:00"/>
        <d v="2019-08-22T00:00:00"/>
        <d v="2019-08-26T00:00:00"/>
        <d v="2019-08-27T00:00:00"/>
        <d v="2019-09-02T00:00:00"/>
        <d v="2019-09-03T00:00:00"/>
        <d v="2019-09-06T00:00:00"/>
        <d v="2019-09-09T00:00:00"/>
        <d v="2019-09-10T00:00:00"/>
        <d v="2019-09-11T00:00:00"/>
        <d v="2019-09-12T00:00:00"/>
        <d v="2019-09-13T00:00:00"/>
        <d v="2019-09-16T00:00:00"/>
        <d v="2019-09-18T00:00:00"/>
        <d v="2019-09-19T00:00:00"/>
        <d v="2019-09-20T00:00:00"/>
        <d v="2019-09-23T00:00:00"/>
        <d v="2019-09-24T00:00:00"/>
        <d v="2019-09-25T00:00:00"/>
        <d v="2019-10-01T00:00:00"/>
        <d v="2019-10-04T00:00:00"/>
        <d v="2019-10-08T00:00:00"/>
        <d v="2019-10-09T00:00:00"/>
        <d v="2019-10-10T00:00:00"/>
        <d v="2019-10-11T00:00:00"/>
        <d v="2019-10-14T00:00:00"/>
        <d v="2019-10-15T00:00:00"/>
        <d v="2019-10-16T00:00:00"/>
        <d v="2019-10-18T00:00:00"/>
        <d v="2019-10-21T00:00:00"/>
        <d v="2019-10-22T00:00:00"/>
        <d v="2019-10-25T00:00:00"/>
        <d v="2019-10-29T00:00:00"/>
        <d v="2019-11-01T00:00:00"/>
        <d v="2019-11-05T00:00:00"/>
        <d v="2019-11-08T00:00:00"/>
        <d v="2019-11-11T00:00:00"/>
        <d v="2019-11-12T00:00:00"/>
        <d v="2019-11-13T00:00:00"/>
        <d v="2019-11-14T00:00:00"/>
        <d v="2019-11-15T00:00:00"/>
        <d v="2019-11-18T00:00:00"/>
        <d v="2019-11-19T00:00:00"/>
        <d v="2019-11-20T00:00:00"/>
        <d v="2019-11-21T00:00:00"/>
        <d v="2019-11-22T00:00:00"/>
        <d v="2019-11-25T00:00:00"/>
        <d v="2019-11-26T00:00:00"/>
        <d v="2019-12-02T00:00:00"/>
        <d v="2019-12-03T00:00:00"/>
        <d v="2019-12-06T00:00:00"/>
        <d v="2019-12-09T00:00:00"/>
        <d v="2019-12-10T00:00:00"/>
        <d v="2019-12-11T00:00:00"/>
        <d v="2019-12-12T00:00:00"/>
        <d v="2019-12-13T00:00:00"/>
        <d v="2019-12-16T00:00:00"/>
        <d v="2019-12-18T00:00:00"/>
        <d v="2019-12-19T00:00:00"/>
        <d v="2019-12-20T00:00:00"/>
        <d v="2019-12-23T00:00:00"/>
        <d v="2019-12-25T00:00:00"/>
        <d v="2019-12-31T00:00:00"/>
        <d v="2019-01-01T00:00:00"/>
        <d v="2019-01-04T00:00:00"/>
        <d v="2019-01-08T00:00:00"/>
        <d v="2019-01-09T00:00:00"/>
        <d v="2019-01-10T00:00:00"/>
        <d v="2019-01-11T00:00:00"/>
        <d v="2019-01-14T00:00:00"/>
        <d v="2019-01-15T00:00:00"/>
        <d v="2019-01-16T00:00:00"/>
        <d v="2019-01-18T00:00:00"/>
        <d v="2019-01-21T00:00:00"/>
        <d v="2019-01-22T00:00:00"/>
        <d v="2019-01-25T00:00:00"/>
        <d v="2019-01-29T00:00:00"/>
        <d v="2019-02-01T00:00:00"/>
        <d v="2019-02-05T00:00:00"/>
        <d v="2019-02-08T00:00:00"/>
        <d v="2019-02-11T00:00:00"/>
        <d v="2019-02-12T00:00:00"/>
        <d v="2019-02-13T00:00:00"/>
        <d v="2019-02-14T00:00:00"/>
        <d v="2019-02-15T00:00:00"/>
        <d v="2019-02-18T00:00:00"/>
        <d v="2019-02-19T00:00:00"/>
        <d v="2019-02-20T00:00:00"/>
        <d v="2019-02-21T00:00:00"/>
        <d v="2019-02-22T00:00:00"/>
        <d v="2019-02-25T00:00:00"/>
        <d v="2019-02-26T00:00:00"/>
        <d v="2019-03-01T00:00:00"/>
        <d v="2019-03-05T00:00:00"/>
        <d v="2019-03-08T00:00:00"/>
        <d v="2019-03-11T00:00:00"/>
        <d v="2019-03-12T00:00:00"/>
        <d v="2019-03-13T00:00:00"/>
        <d v="2019-03-14T00:00:00"/>
        <d v="2019-03-15T00:00:00"/>
        <d v="2019-03-18T00:00:00"/>
        <d v="2019-03-19T00:00:00"/>
        <d v="2019-03-20T00:00:00"/>
        <d v="2019-03-21T00:00:00"/>
        <d v="2019-03-22T00:00:00"/>
        <d v="2019-03-25T00:00:00"/>
        <d v="2019-03-26T00:00:00"/>
        <d v="2019-04-01T00:00:00"/>
        <d v="2019-04-05T00:00:00"/>
        <d v="2019-04-08T00:00:00"/>
        <d v="2019-04-09T00:00:00"/>
        <d v="2019-04-10T00:00:00"/>
        <d v="2019-04-11T00:00:00"/>
        <d v="2019-04-12T00:00:00"/>
        <d v="2019-04-15T00:00:00"/>
        <d v="2019-04-16T00:00:00"/>
        <d v="2019-04-18T00:00:00"/>
        <d v="2019-04-19T00:00:00"/>
        <d v="2019-04-22T00:00:00"/>
        <d v="2019-04-25T00:00:00"/>
        <d v="2019-04-30T00:00:00"/>
        <d v="2019-05-01T00:00:00"/>
        <d v="2019-05-03T00:00:00"/>
        <d v="2019-05-07T00:00:00"/>
        <d v="2019-05-08T00:00:00"/>
        <d v="2019-05-09T00:00:00"/>
        <d v="2019-05-10T00:00:00"/>
        <d v="2019-05-13T00:00:00"/>
        <d v="2019-05-14T00:00:00"/>
        <d v="2019-05-15T00:00:00"/>
        <d v="2019-05-16T00:00:00"/>
        <d v="2019-05-20T00:00:00"/>
        <d v="2019-05-21T00:00:00"/>
        <d v="2019-05-22T00:00:00"/>
        <d v="2019-05-27T00:00:00"/>
        <d v="2019-05-28T00:00:00"/>
        <d v="2019-06-03T00:00:00"/>
        <d v="2019-06-04T00:00:00"/>
        <d v="2019-06-07T00:00:00"/>
      </sharedItems>
    </cacheField>
    <cacheField name="[Final].[Day].[Day]" caption="Day" numFmtId="0" hierarchy="2" level="1">
      <sharedItems count="5">
        <s v="Mon"/>
        <s v="Tue"/>
        <s v="Wed"/>
        <s v="Thu"/>
        <s v="Fri"/>
      </sharedItems>
    </cacheField>
    <cacheField name="[Final].[Project].[Project]" caption="Project" numFmtId="0" hierarchy="4" level="1">
      <sharedItems count="8">
        <s v="Project 2"/>
        <s v="Project 7"/>
        <s v="Project 8"/>
        <s v="Project 3"/>
        <s v="Project 1"/>
        <s v="Project 4"/>
        <s v="Project 5"/>
        <s v="Project 6"/>
      </sharedItems>
    </cacheField>
    <cacheField name="[Final].[Frequency].[Frequency]" caption="Frequency" numFmtId="0" hierarchy="5" level="1">
      <sharedItems count="1">
        <s v="Monthly"/>
      </sharedItems>
    </cacheField>
    <cacheField name="[Final].[Owner].[Owner]" caption="Owner" numFmtId="0" hierarchy="6" level="1">
      <sharedItems count="7">
        <s v="Owner Q"/>
        <s v="Owner S"/>
        <s v="Owner E"/>
        <s v="Owner P"/>
        <s v="Owner C"/>
        <s v="Owner O"/>
        <s v="Owner J"/>
      </sharedItems>
    </cacheField>
    <cacheField name="[Final].[Data Month].[Data Month]" caption="Data Month" numFmtId="0" hierarchy="7" level="1">
      <sharedItems count="13">
        <s v="Apr"/>
        <s v="As"/>
        <s v="May"/>
        <s v="Jun"/>
        <s v="Jul"/>
        <s v="Aug"/>
        <s v="Sep"/>
        <s v="Oct"/>
        <s v="Nov"/>
        <s v="Dec"/>
        <s v="Jan"/>
        <s v="Feb"/>
        <s v="Mar"/>
      </sharedItems>
    </cacheField>
    <cacheField name="[Final].[Data Month #].[Data Month #]" caption="Data Month #" numFmtId="0" hierarchy="8" level="1">
      <sharedItems count="13">
        <s v="04"/>
        <s v="Current"/>
        <s v="05"/>
        <s v="06"/>
        <s v="07"/>
        <s v="08"/>
        <s v="09"/>
        <s v="10"/>
        <s v="11"/>
        <s v="12"/>
        <s v="01"/>
        <s v="02"/>
        <s v="03"/>
      </sharedItems>
    </cacheField>
    <cacheField name="[Final].[Data Year].[Data Year]" caption="Data Year" numFmtId="0" hierarchy="9" level="1">
      <sharedItems count="1">
        <s v="2019"/>
      </sharedItems>
    </cacheField>
    <cacheField name="[Final].[Due date Note].[Due date Note]" caption="Due date Note" numFmtId="0" hierarchy="10" level="1">
      <sharedItems count="19">
        <s v="10th of each month"/>
        <s v="Around 8th of each month"/>
        <s v="Within 5 Business Days In Each Month"/>
        <s v="11th of each month"/>
        <s v="12th of each Month"/>
        <s v="13th of each month"/>
        <s v="14th of each month"/>
        <s v="15th of each month"/>
        <s v="16th of each month"/>
        <s v="18th of each month"/>
        <s v="19th of each month"/>
        <s v="20th of each month"/>
        <s v="21st of each month"/>
        <s v="22st of each month"/>
        <s v="Last Tuesday of each month"/>
        <s v="25th of each month"/>
        <s v="1st of each month"/>
        <s v="1st Friday of each month"/>
        <s v="1st Tuesday of each month"/>
      </sharedItems>
    </cacheField>
    <cacheField name="[Final].[D.I.P.Y?].[D.I.P.Y?]" caption="D.I.P.Y?" numFmtId="0" level="1">
      <sharedItems count="2">
        <s v="FALSE"/>
        <s v="TRUE"/>
      </sharedItems>
    </cacheField>
    <cacheField name="[Final].[Due date Slicer].[Due date Slicer]" caption="Due date Slicer" numFmtId="0" hierarchy="3" level="1">
      <sharedItems containsSemiMixedTypes="0" containsNonDate="0" containsString="0"/>
    </cacheField>
  </cacheFields>
  <cacheHierarchies count="23">
    <cacheHierarchy uniqueName="[Final].[D.I.P.Y?]" caption="D.I.P.Y?" attribute="1" defaultMemberUniqueName="[Final].[D.I.P.Y?].[All]" allUniqueName="[Final].[D.I.P.Y?].[All]" dimensionUniqueName="[Final]" displayFolder="" count="2" memberValueDatatype="130" unbalanced="0">
      <fieldsUsage count="2">
        <fieldUsage x="-1"/>
        <fieldUsage x="9"/>
      </fieldsUsage>
    </cacheHierarchy>
    <cacheHierarchy uniqueName="[Final].[Due Date]" caption="Due Date" attribute="1" time="1" defaultMemberUniqueName="[Final].[Due Date].[All]" allUniqueName="[Final].[Due Date].[All]" dimensionUniqueName="[Final]" displayFolder="" count="2" memberValueDatatype="7" unbalanced="0">
      <fieldsUsage count="2">
        <fieldUsage x="-1"/>
        <fieldUsage x="0"/>
      </fieldsUsage>
    </cacheHierarchy>
    <cacheHierarchy uniqueName="[Final].[Day]" caption="Day" attribute="1" defaultMemberUniqueName="[Final].[Day].[All]" allUniqueName="[Final].[Day].[All]" dimensionUniqueName="[Final]" displayFolder="" count="2" memberValueDatatype="130" unbalanced="0">
      <fieldsUsage count="2">
        <fieldUsage x="-1"/>
        <fieldUsage x="1"/>
      </fieldsUsage>
    </cacheHierarchy>
    <cacheHierarchy uniqueName="[Final].[Due date Slicer]" caption="Due date Slicer" attribute="1" time="1" defaultMemberUniqueName="[Final].[Due date Slicer].[All]" allUniqueName="[Final].[Due date Slicer].[All]" dimensionUniqueName="[Final]" displayFolder="" count="2" memberValueDatatype="7" unbalanced="0">
      <fieldsUsage count="2">
        <fieldUsage x="-1"/>
        <fieldUsage x="10"/>
      </fieldsUsage>
    </cacheHierarchy>
    <cacheHierarchy uniqueName="[Final].[Project]" caption="Project" attribute="1" defaultMemberUniqueName="[Final].[Project].[All]" allUniqueName="[Final].[Project].[All]" dimensionUniqueName="[Final]" displayFolder="" count="2" memberValueDatatype="130" unbalanced="0">
      <fieldsUsage count="2">
        <fieldUsage x="-1"/>
        <fieldUsage x="2"/>
      </fieldsUsage>
    </cacheHierarchy>
    <cacheHierarchy uniqueName="[Final].[Frequency]" caption="Frequency" attribute="1" defaultMemberUniqueName="[Final].[Frequency].[All]" allUniqueName="[Final].[Frequency].[All]" dimensionUniqueName="[Final]" displayFolder="" count="2" memberValueDatatype="130" unbalanced="0">
      <fieldsUsage count="2">
        <fieldUsage x="-1"/>
        <fieldUsage x="3"/>
      </fieldsUsage>
    </cacheHierarchy>
    <cacheHierarchy uniqueName="[Final].[Owner]" caption="Owner" attribute="1" defaultMemberUniqueName="[Final].[Owner].[All]" allUniqueName="[Final].[Owner].[All]" dimensionUniqueName="[Final]" displayFolder="" count="2" memberValueDatatype="130" unbalanced="0">
      <fieldsUsage count="2">
        <fieldUsage x="-1"/>
        <fieldUsage x="4"/>
      </fieldsUsage>
    </cacheHierarchy>
    <cacheHierarchy uniqueName="[Final].[Data Month]" caption="Data Month" attribute="1" defaultMemberUniqueName="[Final].[Data Month].[All]" allUniqueName="[Final].[Data Month].[All]" dimensionUniqueName="[Final]" displayFolder="" count="2" memberValueDatatype="130" unbalanced="0">
      <fieldsUsage count="2">
        <fieldUsage x="-1"/>
        <fieldUsage x="5"/>
      </fieldsUsage>
    </cacheHierarchy>
    <cacheHierarchy uniqueName="[Final].[Data Month #]" caption="Data Month #" attribute="1" defaultMemberUniqueName="[Final].[Data Month #].[All]" allUniqueName="[Final].[Data Month #].[All]" dimensionUniqueName="[Final]" displayFolder="" count="2" memberValueDatatype="130" unbalanced="0">
      <fieldsUsage count="2">
        <fieldUsage x="-1"/>
        <fieldUsage x="6"/>
      </fieldsUsage>
    </cacheHierarchy>
    <cacheHierarchy uniqueName="[Final].[Data Year]" caption="Data Year" attribute="1" defaultMemberUniqueName="[Final].[Data Year].[All]" allUniqueName="[Final].[Data Year].[All]" dimensionUniqueName="[Final]" displayFolder="" count="2" memberValueDatatype="130" unbalanced="0">
      <fieldsUsage count="2">
        <fieldUsage x="-1"/>
        <fieldUsage x="7"/>
      </fieldsUsage>
    </cacheHierarchy>
    <cacheHierarchy uniqueName="[Final].[Due date Note]" caption="Due date Note" attribute="1" defaultMemberUniqueName="[Final].[Due date Note].[All]" allUniqueName="[Final].[Due date Note].[All]" dimensionUniqueName="[Final]" displayFolder="" count="2" memberValueDatatype="130" unbalanced="0">
      <fieldsUsage count="2">
        <fieldUsage x="-1"/>
        <fieldUsage x="8"/>
      </fieldsUsage>
    </cacheHierarchy>
    <cacheHierarchy uniqueName="[Final].[Reconciled to Calandar?]" caption="Reconciled to Calandar?" attribute="1" defaultMemberUniqueName="[Final].[Reconciled to Calandar?].[All]" allUniqueName="[Final].[Reconciled to Calandar?].[All]" dimensionUniqueName="[Final]" displayFolder="" count="0" memberValueDatatype="130" unbalanced="0"/>
    <cacheHierarchy uniqueName="[Final].[Notes:]" caption="Notes:" attribute="1" defaultMemberUniqueName="[Final].[Notes:].[All]" allUniqueName="[Final].[Notes:].[All]" dimensionUniqueName="[Final]" displayFolder="" count="0" memberValueDatatype="130" unbalanced="0"/>
    <cacheHierarchy uniqueName="[Final].[Due date Slicer (Year)]" caption="Due date Slicer (Year)" attribute="1" defaultMemberUniqueName="[Final].[Due date Slicer (Year)].[All]" allUniqueName="[Final].[Due date Slicer (Year)].[All]" dimensionUniqueName="[Final]" displayFolder="" count="0" memberValueDatatype="130" unbalanced="0"/>
    <cacheHierarchy uniqueName="[Final].[Due date Slicer (Quarter)]" caption="Due date Slicer (Quarter)" attribute="1" defaultMemberUniqueName="[Final].[Due date Slicer (Quarter)].[All]" allUniqueName="[Final].[Due date Slicer (Quarter)].[All]" dimensionUniqueName="[Final]" displayFolder="" count="0" memberValueDatatype="130" unbalanced="0"/>
    <cacheHierarchy uniqueName="[Final].[Due date Slicer (Month)]" caption="Due date Slicer (Month)" attribute="1" defaultMemberUniqueName="[Final].[Due date Slicer (Month)].[All]" allUniqueName="[Final].[Due date Slicer (Month)].[All]" dimensionUniqueName="[Final]" displayFolder="" count="0" memberValueDatatype="130" unbalanced="0"/>
    <cacheHierarchy uniqueName="[Final].[Due Date Slicer (Year) 1]" caption="Due Date Slicer (Year) 1" attribute="1" defaultMemberUniqueName="[Final].[Due Date Slicer (Year) 1].[All]" allUniqueName="[Final].[Due Date Slicer (Year) 1].[All]" dimensionUniqueName="[Final]" displayFolder="" count="0" memberValueDatatype="130" unbalanced="0"/>
    <cacheHierarchy uniqueName="[Final].[Due Date Slicer (Quarter) 1]" caption="Due Date Slicer (Quarter) 1" attribute="1" defaultMemberUniqueName="[Final].[Due Date Slicer (Quarter) 1].[All]" allUniqueName="[Final].[Due Date Slicer (Quarter) 1].[All]" dimensionUniqueName="[Final]" displayFolder="" count="0" memberValueDatatype="130" unbalanced="0"/>
    <cacheHierarchy uniqueName="[Final].[Due Date Slicer (Month) 1]" caption="Due Date Slicer (Month) 1" attribute="1" defaultMemberUniqueName="[Final].[Due Date Slicer (Month) 1].[All]" allUniqueName="[Final].[Due Date Slicer (Month) 1].[All]" dimensionUniqueName="[Final]" displayFolder="" count="0" memberValueDatatype="130" unbalanced="0"/>
    <cacheHierarchy uniqueName="[Final].[Due date Slicer (Month Index)]" caption="Due date Slicer (Month Index)" attribute="1" defaultMemberUniqueName="[Final].[Due date Slicer (Month Index)].[All]" allUniqueName="[Final].[Due date Slicer (Month Index)].[All]" dimensionUniqueName="[Final]" displayFolder="" count="0" memberValueDatatype="20" unbalanced="0" hidden="1"/>
    <cacheHierarchy uniqueName="[Final].[Due Date Slicer (Month Index) 1]" caption="Due Date Slicer (Month Index) 1" attribute="1" defaultMemberUniqueName="[Final].[Due Date Slicer (Month Index) 1].[All]" allUniqueName="[Final].[Due Date Slicer (Month Index) 1].[All]" dimensionUniqueName="[Final]" displayFolder="" count="0" memberValueDatatype="20" unbalanced="0" hidden="1"/>
    <cacheHierarchy uniqueName="[Measures].[__XL_Count Final]" caption="__XL_Count Final" measure="1" displayFolder="" measureGroup="Final" count="0" hidden="1"/>
    <cacheHierarchy uniqueName="[Measures].[__No measures defined]" caption="__No measures defined" measure="1" displayFolder="" count="0" hidden="1"/>
  </cacheHierarchies>
  <kpis count="0"/>
  <dimensions count="2">
    <dimension name="Final" uniqueName="[Final]" caption="Final"/>
    <dimension measure="1" name="Measures" uniqueName="[Measures]" caption="Measures"/>
  </dimensions>
  <measureGroups count="1">
    <measureGroup name="Final" caption="Final"/>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uben" refreshedDate="43623.94563923611" createdVersion="3" refreshedVersion="6" minRefreshableVersion="3" recordCount="0" supportSubquery="1" supportAdvancedDrill="1" xr:uid="{4FDDD4A4-DF21-403B-A261-DE651A29B924}">
  <cacheSource type="external" connectionId="2">
    <extLst>
      <ext xmlns:x14="http://schemas.microsoft.com/office/spreadsheetml/2009/9/main" uri="{F057638F-6D5F-4e77-A914-E7F072B9BCA8}">
        <x14:sourceConnection name="ThisWorkbookDataModel"/>
      </ext>
    </extLst>
  </cacheSource>
  <cacheFields count="0"/>
  <cacheHierarchies count="23">
    <cacheHierarchy uniqueName="[Final].[D.I.P.Y?]" caption="D.I.P.Y?" attribute="1" defaultMemberUniqueName="[Final].[D.I.P.Y?].[All]" allUniqueName="[Final].[D.I.P.Y?].[All]" dimensionUniqueName="[Final]" displayFolder="" count="0" memberValueDatatype="130" unbalanced="0"/>
    <cacheHierarchy uniqueName="[Final].[Due Date]" caption="Due Date" attribute="1" time="1" defaultMemberUniqueName="[Final].[Due Date].[All]" allUniqueName="[Final].[Due Date].[All]" dimensionUniqueName="[Final]" displayFolder="" count="0" memberValueDatatype="7" unbalanced="0"/>
    <cacheHierarchy uniqueName="[Final].[Day]" caption="Day" attribute="1" defaultMemberUniqueName="[Final].[Day].[All]" allUniqueName="[Final].[Day].[All]" dimensionUniqueName="[Final]" displayFolder="" count="0" memberValueDatatype="130" unbalanced="0"/>
    <cacheHierarchy uniqueName="[Final].[Due date Slicer]" caption="Due date Slicer" attribute="1" time="1" defaultMemberUniqueName="[Final].[Due date Slicer].[All]" allUniqueName="[Final].[Due date Slicer].[All]" dimensionUniqueName="[Final]" displayFolder="" count="2" memberValueDatatype="7" unbalanced="0"/>
    <cacheHierarchy uniqueName="[Final].[Project]" caption="Project" attribute="1" defaultMemberUniqueName="[Final].[Project].[All]" allUniqueName="[Final].[Project].[All]" dimensionUniqueName="[Final]" displayFolder="" count="2" memberValueDatatype="130" unbalanced="0"/>
    <cacheHierarchy uniqueName="[Final].[Frequency]" caption="Frequency" attribute="1" defaultMemberUniqueName="[Final].[Frequency].[All]" allUniqueName="[Final].[Frequency].[All]" dimensionUniqueName="[Final]" displayFolder="" count="0" memberValueDatatype="130" unbalanced="0"/>
    <cacheHierarchy uniqueName="[Final].[Owner]" caption="Owner" attribute="1" defaultMemberUniqueName="[Final].[Owner].[All]" allUniqueName="[Final].[Owner].[All]" dimensionUniqueName="[Final]" displayFolder="" count="2" memberValueDatatype="130" unbalanced="0"/>
    <cacheHierarchy uniqueName="[Final].[Data Month]" caption="Data Month" attribute="1" defaultMemberUniqueName="[Final].[Data Month].[All]" allUniqueName="[Final].[Data Month].[All]" dimensionUniqueName="[Final]" displayFolder="" count="0" memberValueDatatype="130" unbalanced="0"/>
    <cacheHierarchy uniqueName="[Final].[Data Month #]" caption="Data Month #" attribute="1" defaultMemberUniqueName="[Final].[Data Month #].[All]" allUniqueName="[Final].[Data Month #].[All]" dimensionUniqueName="[Final]" displayFolder="" count="0" memberValueDatatype="130" unbalanced="0"/>
    <cacheHierarchy uniqueName="[Final].[Data Year]" caption="Data Year" attribute="1" defaultMemberUniqueName="[Final].[Data Year].[All]" allUniqueName="[Final].[Data Year].[All]" dimensionUniqueName="[Final]" displayFolder="" count="0" memberValueDatatype="130" unbalanced="0"/>
    <cacheHierarchy uniqueName="[Final].[Due date Note]" caption="Due date Note" attribute="1" defaultMemberUniqueName="[Final].[Due date Note].[All]" allUniqueName="[Final].[Due date Note].[All]" dimensionUniqueName="[Final]" displayFolder="" count="0" memberValueDatatype="130" unbalanced="0"/>
    <cacheHierarchy uniqueName="[Final].[Reconciled to Calandar?]" caption="Reconciled to Calandar?" attribute="1" defaultMemberUniqueName="[Final].[Reconciled to Calandar?].[All]" allUniqueName="[Final].[Reconciled to Calandar?].[All]" dimensionUniqueName="[Final]" displayFolder="" count="0" memberValueDatatype="130" unbalanced="0"/>
    <cacheHierarchy uniqueName="[Final].[Notes:]" caption="Notes:" attribute="1" defaultMemberUniqueName="[Final].[Notes:].[All]" allUniqueName="[Final].[Notes:].[All]" dimensionUniqueName="[Final]" displayFolder="" count="0" memberValueDatatype="130" unbalanced="0"/>
    <cacheHierarchy uniqueName="[Final].[Due date Slicer (Year)]" caption="Due date Slicer (Year)" attribute="1" defaultMemberUniqueName="[Final].[Due date Slicer (Year)].[All]" allUniqueName="[Final].[Due date Slicer (Year)].[All]" dimensionUniqueName="[Final]" displayFolder="" count="0" memberValueDatatype="130" unbalanced="0"/>
    <cacheHierarchy uniqueName="[Final].[Due date Slicer (Quarter)]" caption="Due date Slicer (Quarter)" attribute="1" defaultMemberUniqueName="[Final].[Due date Slicer (Quarter)].[All]" allUniqueName="[Final].[Due date Slicer (Quarter)].[All]" dimensionUniqueName="[Final]" displayFolder="" count="0" memberValueDatatype="130" unbalanced="0"/>
    <cacheHierarchy uniqueName="[Final].[Due date Slicer (Month)]" caption="Due date Slicer (Month)" attribute="1" defaultMemberUniqueName="[Final].[Due date Slicer (Month)].[All]" allUniqueName="[Final].[Due date Slicer (Month)].[All]" dimensionUniqueName="[Final]" displayFolder="" count="0" memberValueDatatype="130" unbalanced="0"/>
    <cacheHierarchy uniqueName="[Final].[Due Date Slicer (Year) 1]" caption="Due Date Slicer (Year) 1" attribute="1" defaultMemberUniqueName="[Final].[Due Date Slicer (Year) 1].[All]" allUniqueName="[Final].[Due Date Slicer (Year) 1].[All]" dimensionUniqueName="[Final]" displayFolder="" count="0" memberValueDatatype="130" unbalanced="0"/>
    <cacheHierarchy uniqueName="[Final].[Due Date Slicer (Quarter) 1]" caption="Due Date Slicer (Quarter) 1" attribute="1" defaultMemberUniqueName="[Final].[Due Date Slicer (Quarter) 1].[All]" allUniqueName="[Final].[Due Date Slicer (Quarter) 1].[All]" dimensionUniqueName="[Final]" displayFolder="" count="0" memberValueDatatype="130" unbalanced="0"/>
    <cacheHierarchy uniqueName="[Final].[Due Date Slicer (Month) 1]" caption="Due Date Slicer (Month) 1" attribute="1" defaultMemberUniqueName="[Final].[Due Date Slicer (Month) 1].[All]" allUniqueName="[Final].[Due Date Slicer (Month) 1].[All]" dimensionUniqueName="[Final]" displayFolder="" count="0" memberValueDatatype="130" unbalanced="0"/>
    <cacheHierarchy uniqueName="[Final].[Due date Slicer (Month Index)]" caption="Due date Slicer (Month Index)" attribute="1" defaultMemberUniqueName="[Final].[Due date Slicer (Month Index)].[All]" allUniqueName="[Final].[Due date Slicer (Month Index)].[All]" dimensionUniqueName="[Final]" displayFolder="" count="0" memberValueDatatype="20" unbalanced="0" hidden="1"/>
    <cacheHierarchy uniqueName="[Final].[Due Date Slicer (Month Index) 1]" caption="Due Date Slicer (Month Index) 1" attribute="1" defaultMemberUniqueName="[Final].[Due Date Slicer (Month Index) 1].[All]" allUniqueName="[Final].[Due Date Slicer (Month Index) 1].[All]" dimensionUniqueName="[Final]" displayFolder="" count="0" memberValueDatatype="20" unbalanced="0" hidden="1"/>
    <cacheHierarchy uniqueName="[Measures].[__XL_Count Final]" caption="__XL_Count Final" measure="1" displayFolder="" measureGroup="Final"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7353334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0" applyNumberFormats="0" applyBorderFormats="0" applyFontFormats="0" applyPatternFormats="0" applyAlignmentFormats="0" applyWidthHeightFormats="1" dataCaption="Values" tag="ec280b51-caa2-432b-b2f8-dabcb8eb90a3" updatedVersion="6" minRefreshableVersion="3" showDrill="0" useAutoFormatting="1" subtotalHiddenItems="1" rowGrandTotals="0" colGrandTotals="0" itemPrintTitles="1" createdVersion="5" indent="0" compact="0" compactData="0" multipleFieldFilters="0">
  <location ref="D11:M239" firstHeaderRow="1" firstDataRow="1" firstDataCol="10"/>
  <pivotFields count="11">
    <pivotField axis="axisRow" compact="0" allDrilled="1" outline="0" showAll="0" sortType="descending" defaultSubtotal="0" defaultAttributeDrillState="1">
      <items count="177">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5">
        <item x="0"/>
        <item x="1"/>
        <item x="2"/>
        <item x="3"/>
        <item x="4"/>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8">
        <item x="0"/>
        <item x="1"/>
        <item x="2"/>
        <item x="3"/>
        <item x="4"/>
        <item x="5"/>
        <item x="6"/>
        <item x="7"/>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
        <item x="0"/>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19">
        <item x="0"/>
        <item x="1"/>
        <item x="2"/>
        <item x="3"/>
        <item x="4"/>
        <item x="5"/>
        <item x="6"/>
        <item x="7"/>
        <item x="8"/>
        <item x="9"/>
        <item x="10"/>
        <item x="11"/>
        <item x="12"/>
        <item x="13"/>
        <item x="14"/>
        <item x="15"/>
        <item x="16"/>
        <item x="17"/>
        <item x="18"/>
      </items>
      <extLst>
        <ext xmlns:x14="http://schemas.microsoft.com/office/spreadsheetml/2009/9/main" uri="{2946ED86-A175-432a-8AC1-64E0C546D7DE}">
          <x14:pivotField fillDownLabels="1"/>
        </ext>
      </extLst>
    </pivotField>
    <pivotField axis="axisRow" compact="0" allDrilled="1" outline="0" showAll="0" dataSourceSort="1" defaultSubtotal="0" defaultAttributeDrillState="1">
      <items count="2">
        <item x="0"/>
        <item x="1"/>
      </items>
      <extLst>
        <ext xmlns:x14="http://schemas.microsoft.com/office/spreadsheetml/2009/9/main" uri="{2946ED86-A175-432a-8AC1-64E0C546D7DE}">
          <x14:pivotField fillDownLabels="1"/>
        </ext>
      </extLst>
    </pivotField>
    <pivotField compact="0" allDrilled="1" outline="0" showAll="0" dataSourceSort="1" defaultSubtotal="0" defaultAttributeDrillState="1">
      <extLst>
        <ext xmlns:x14="http://schemas.microsoft.com/office/spreadsheetml/2009/9/main" uri="{2946ED86-A175-432a-8AC1-64E0C546D7DE}">
          <x14:pivotField fillDownLabels="1"/>
        </ext>
      </extLst>
    </pivotField>
  </pivotFields>
  <rowFields count="10">
    <field x="9"/>
    <field x="0"/>
    <field x="1"/>
    <field x="2"/>
    <field x="3"/>
    <field x="4"/>
    <field x="5"/>
    <field x="6"/>
    <field x="7"/>
    <field x="8"/>
  </rowFields>
  <rowItems count="228">
    <i>
      <x/>
      <x/>
      <x v="1"/>
      <x v="4"/>
      <x/>
      <x v="2"/>
      <x v="8"/>
      <x v="8"/>
      <x/>
      <x v="14"/>
    </i>
    <i r="1">
      <x v="1"/>
      <x v="2"/>
      <x v="7"/>
      <x/>
      <x v="6"/>
      <x v="7"/>
      <x v="7"/>
      <x/>
      <x v="15"/>
    </i>
    <i r="1">
      <x v="2"/>
      <x/>
      <x v="4"/>
      <x/>
      <x/>
      <x v="8"/>
      <x v="8"/>
      <x/>
      <x v="13"/>
    </i>
    <i r="3">
      <x v="6"/>
      <x/>
      <x v="4"/>
      <x v="8"/>
      <x v="8"/>
      <x/>
      <x v="12"/>
    </i>
    <i r="1">
      <x v="3"/>
      <x v="4"/>
      <x v="3"/>
      <x/>
      <x/>
      <x v="7"/>
      <x v="7"/>
      <x/>
      <x v="11"/>
    </i>
    <i r="1">
      <x v="4"/>
      <x v="3"/>
      <x v="7"/>
      <x/>
      <x/>
      <x v="7"/>
      <x v="7"/>
      <x/>
      <x v="10"/>
    </i>
    <i r="1">
      <x v="5"/>
      <x v="2"/>
      <x v="6"/>
      <x/>
      <x v="4"/>
      <x v="8"/>
      <x v="8"/>
      <x/>
      <x v="9"/>
    </i>
    <i r="1">
      <x v="6"/>
      <x/>
      <x v="4"/>
      <x/>
      <x v="4"/>
      <x v="8"/>
      <x v="8"/>
      <x/>
      <x v="7"/>
    </i>
    <i r="3">
      <x v="5"/>
      <x/>
      <x v="4"/>
      <x v="8"/>
      <x v="8"/>
      <x/>
      <x v="6"/>
    </i>
    <i r="3">
      <x v="6"/>
      <x/>
      <x v="5"/>
      <x v="8"/>
      <x v="8"/>
      <x/>
      <x v="8"/>
    </i>
    <i r="1">
      <x v="7"/>
      <x v="4"/>
      <x/>
      <x/>
      <x v="3"/>
      <x v="7"/>
      <x v="7"/>
      <x/>
      <x v="5"/>
    </i>
    <i r="1">
      <x v="8"/>
      <x v="3"/>
      <x v="4"/>
      <x/>
      <x v="2"/>
      <x v="8"/>
      <x v="8"/>
      <x/>
      <x v="4"/>
    </i>
    <i r="1">
      <x v="9"/>
      <x v="2"/>
      <x v="3"/>
      <x/>
      <x v="2"/>
      <x v="7"/>
      <x v="7"/>
      <x/>
      <x v="3"/>
    </i>
    <i r="1">
      <x v="10"/>
      <x v="1"/>
      <x/>
      <x/>
      <x/>
      <x v="7"/>
      <x v="7"/>
      <x/>
      <x/>
    </i>
    <i r="1">
      <x v="11"/>
      <x/>
      <x v="1"/>
      <x/>
      <x v="1"/>
      <x v="1"/>
      <x v="1"/>
      <x/>
      <x v="1"/>
    </i>
    <i r="3">
      <x v="2"/>
      <x/>
      <x/>
      <x v="8"/>
      <x v="8"/>
      <x/>
      <x v="2"/>
    </i>
    <i r="1">
      <x v="12"/>
      <x v="4"/>
      <x v="4"/>
      <x/>
      <x v="2"/>
      <x v="8"/>
      <x v="8"/>
      <x/>
      <x v="17"/>
    </i>
    <i r="1">
      <x v="13"/>
      <x v="1"/>
      <x v="4"/>
      <x/>
      <x v="6"/>
      <x v="7"/>
      <x v="7"/>
      <x/>
      <x v="18"/>
    </i>
    <i r="1">
      <x v="14"/>
      <x/>
      <x v="5"/>
      <x/>
      <x v="5"/>
      <x v="8"/>
      <x v="8"/>
      <x/>
      <x v="16"/>
    </i>
    <i r="1">
      <x v="15"/>
      <x v="1"/>
      <x v="4"/>
      <x/>
      <x v="2"/>
      <x v="7"/>
      <x v="7"/>
      <x/>
      <x v="14"/>
    </i>
    <i r="1">
      <x v="16"/>
      <x/>
      <x v="7"/>
      <x/>
      <x v="6"/>
      <x v="6"/>
      <x v="6"/>
      <x/>
      <x v="15"/>
    </i>
    <i r="1">
      <x v="17"/>
      <x v="4"/>
      <x v="4"/>
      <x/>
      <x/>
      <x v="7"/>
      <x v="7"/>
      <x/>
      <x v="13"/>
    </i>
    <i r="1">
      <x v="18"/>
      <x v="3"/>
      <x v="6"/>
      <x/>
      <x v="4"/>
      <x v="7"/>
      <x v="7"/>
      <x/>
      <x v="12"/>
    </i>
    <i r="1">
      <x v="19"/>
      <x v="2"/>
      <x v="3"/>
      <x/>
      <x/>
      <x v="6"/>
      <x v="6"/>
      <x/>
      <x v="11"/>
    </i>
    <i r="1">
      <x v="20"/>
      <x v="1"/>
      <x v="7"/>
      <x/>
      <x/>
      <x v="6"/>
      <x v="6"/>
      <x/>
      <x v="10"/>
    </i>
    <i r="1">
      <x v="21"/>
      <x/>
      <x v="6"/>
      <x/>
      <x v="4"/>
      <x v="7"/>
      <x v="7"/>
      <x/>
      <x v="9"/>
    </i>
    <i r="5">
      <x v="5"/>
      <x v="7"/>
      <x v="7"/>
      <x/>
      <x v="8"/>
    </i>
    <i r="1">
      <x v="22"/>
      <x v="4"/>
      <x v="4"/>
      <x/>
      <x v="4"/>
      <x v="7"/>
      <x v="7"/>
      <x/>
      <x v="7"/>
    </i>
    <i r="1">
      <x v="23"/>
      <x v="3"/>
      <x v="5"/>
      <x/>
      <x v="4"/>
      <x v="7"/>
      <x v="7"/>
      <x/>
      <x v="6"/>
    </i>
    <i r="1">
      <x v="24"/>
      <x v="2"/>
      <x/>
      <x/>
      <x v="3"/>
      <x v="6"/>
      <x v="6"/>
      <x/>
      <x v="5"/>
    </i>
    <i r="1">
      <x v="25"/>
      <x v="1"/>
      <x v="4"/>
      <x/>
      <x v="2"/>
      <x v="7"/>
      <x v="7"/>
      <x/>
      <x v="4"/>
    </i>
    <i r="1">
      <x v="26"/>
      <x/>
      <x/>
      <x/>
      <x/>
      <x v="6"/>
      <x v="6"/>
      <x/>
      <x/>
    </i>
    <i r="3">
      <x v="3"/>
      <x/>
      <x v="2"/>
      <x v="6"/>
      <x v="6"/>
      <x/>
      <x v="3"/>
    </i>
    <i r="3">
      <x v="2"/>
      <x/>
      <x/>
      <x v="7"/>
      <x v="7"/>
      <x/>
      <x v="2"/>
    </i>
    <i r="1">
      <x v="27"/>
      <x v="4"/>
      <x v="1"/>
      <x/>
      <x v="1"/>
      <x v="1"/>
      <x v="1"/>
      <x/>
      <x v="1"/>
    </i>
    <i r="1">
      <x v="28"/>
      <x v="1"/>
      <x v="4"/>
      <x/>
      <x v="6"/>
      <x v="6"/>
      <x v="6"/>
      <x/>
      <x v="18"/>
    </i>
    <i r="1">
      <x v="29"/>
      <x v="4"/>
      <x v="4"/>
      <x/>
      <x v="2"/>
      <x v="7"/>
      <x v="7"/>
      <x/>
      <x v="17"/>
    </i>
    <i r="3">
      <x v="5"/>
      <x/>
      <x v="5"/>
      <x v="7"/>
      <x v="7"/>
      <x/>
      <x v="16"/>
    </i>
    <i r="1">
      <x v="30"/>
      <x v="1"/>
      <x v="4"/>
      <x/>
      <x v="2"/>
      <x v="6"/>
      <x v="6"/>
      <x/>
      <x v="14"/>
    </i>
    <i r="1">
      <x v="31"/>
      <x v="4"/>
      <x v="7"/>
      <x/>
      <x v="6"/>
      <x v="5"/>
      <x v="5"/>
      <x/>
      <x v="15"/>
    </i>
    <i r="1">
      <x v="32"/>
      <x v="1"/>
      <x v="4"/>
      <x/>
      <x/>
      <x v="6"/>
      <x v="6"/>
      <x/>
      <x v="13"/>
    </i>
    <i r="1">
      <x v="33"/>
      <x/>
      <x v="3"/>
      <x/>
      <x/>
      <x v="5"/>
      <x v="5"/>
      <x/>
      <x v="11"/>
    </i>
    <i r="3">
      <x v="6"/>
      <x/>
      <x v="4"/>
      <x v="6"/>
      <x v="6"/>
      <x/>
      <x v="12"/>
    </i>
    <i r="3">
      <x v="7"/>
      <x/>
      <x/>
      <x v="5"/>
      <x v="5"/>
      <x/>
      <x v="10"/>
    </i>
    <i r="1">
      <x v="34"/>
      <x v="4"/>
      <x v="6"/>
      <x/>
      <x v="4"/>
      <x v="6"/>
      <x v="6"/>
      <x/>
      <x v="9"/>
    </i>
    <i r="1">
      <x v="35"/>
      <x v="2"/>
      <x v="6"/>
      <x/>
      <x v="5"/>
      <x v="6"/>
      <x v="6"/>
      <x/>
      <x v="8"/>
    </i>
    <i r="1">
      <x v="36"/>
      <x v="1"/>
      <x v="4"/>
      <x/>
      <x v="4"/>
      <x v="6"/>
      <x v="6"/>
      <x/>
      <x v="7"/>
    </i>
    <i r="1">
      <x v="37"/>
      <x/>
      <x v="4"/>
      <x/>
      <x v="2"/>
      <x v="6"/>
      <x v="6"/>
      <x/>
      <x v="4"/>
    </i>
    <i r="3">
      <x/>
      <x/>
      <x v="3"/>
      <x v="5"/>
      <x v="5"/>
      <x/>
      <x v="5"/>
    </i>
    <i r="3">
      <x v="5"/>
      <x/>
      <x v="4"/>
      <x v="6"/>
      <x v="6"/>
      <x/>
      <x v="6"/>
    </i>
    <i r="1">
      <x v="38"/>
      <x v="4"/>
      <x v="3"/>
      <x/>
      <x v="2"/>
      <x v="5"/>
      <x v="5"/>
      <x/>
      <x v="3"/>
    </i>
    <i r="1">
      <x v="39"/>
      <x v="3"/>
      <x/>
      <x/>
      <x/>
      <x v="5"/>
      <x v="5"/>
      <x/>
      <x/>
    </i>
    <i r="1">
      <x v="40"/>
      <x v="2"/>
      <x v="2"/>
      <x/>
      <x/>
      <x v="6"/>
      <x v="6"/>
      <x/>
      <x v="2"/>
    </i>
    <i r="1">
      <x v="41"/>
      <x v="1"/>
      <x v="4"/>
      <x/>
      <x v="6"/>
      <x v="5"/>
      <x v="5"/>
      <x/>
      <x v="18"/>
    </i>
    <i r="3">
      <x v="1"/>
      <x/>
      <x v="1"/>
      <x v="1"/>
      <x v="1"/>
      <x/>
      <x v="1"/>
    </i>
    <i r="1">
      <x v="42"/>
      <x v="4"/>
      <x v="4"/>
      <x/>
      <x v="2"/>
      <x v="6"/>
      <x v="6"/>
      <x/>
      <x v="17"/>
    </i>
    <i r="1">
      <x v="43"/>
      <x v="1"/>
      <x v="5"/>
      <x/>
      <x v="5"/>
      <x v="6"/>
      <x v="6"/>
      <x/>
      <x v="16"/>
    </i>
    <i r="1">
      <x v="44"/>
      <x v="2"/>
      <x v="7"/>
      <x/>
      <x v="6"/>
      <x v="4"/>
      <x v="4"/>
      <x/>
      <x v="15"/>
    </i>
    <i r="1">
      <x v="45"/>
      <x v="1"/>
      <x v="4"/>
      <x/>
      <x v="2"/>
      <x v="5"/>
      <x v="5"/>
      <x/>
      <x v="14"/>
    </i>
    <i r="1">
      <x v="46"/>
      <x/>
      <x v="4"/>
      <x/>
      <x/>
      <x v="5"/>
      <x v="5"/>
      <x/>
      <x v="13"/>
    </i>
    <i r="3">
      <x v="6"/>
      <x/>
      <x v="4"/>
      <x v="5"/>
      <x v="5"/>
      <x/>
      <x v="12"/>
    </i>
    <i r="1">
      <x v="47"/>
      <x v="4"/>
      <x v="3"/>
      <x/>
      <x/>
      <x v="4"/>
      <x v="4"/>
      <x/>
      <x v="11"/>
    </i>
    <i r="1">
      <x v="48"/>
      <x v="3"/>
      <x v="7"/>
      <x/>
      <x/>
      <x v="4"/>
      <x v="4"/>
      <x/>
      <x v="10"/>
    </i>
    <i r="1">
      <x v="49"/>
      <x v="2"/>
      <x v="6"/>
      <x/>
      <x v="4"/>
      <x v="5"/>
      <x v="5"/>
      <x/>
      <x v="9"/>
    </i>
    <i r="1">
      <x v="50"/>
      <x/>
      <x v="4"/>
      <x/>
      <x v="4"/>
      <x v="5"/>
      <x v="5"/>
      <x/>
      <x v="7"/>
    </i>
    <i r="3">
      <x v="5"/>
      <x/>
      <x v="4"/>
      <x v="5"/>
      <x v="5"/>
      <x/>
      <x v="6"/>
    </i>
    <i r="3">
      <x v="6"/>
      <x/>
      <x v="5"/>
      <x v="5"/>
      <x v="5"/>
      <x/>
      <x v="8"/>
    </i>
    <i r="1">
      <x v="51"/>
      <x v="4"/>
      <x/>
      <x/>
      <x v="3"/>
      <x v="4"/>
      <x v="4"/>
      <x/>
      <x v="5"/>
    </i>
    <i r="1">
      <x v="52"/>
      <x v="3"/>
      <x v="4"/>
      <x/>
      <x v="2"/>
      <x v="5"/>
      <x v="5"/>
      <x/>
      <x v="4"/>
    </i>
    <i r="1">
      <x v="53"/>
      <x v="2"/>
      <x v="3"/>
      <x/>
      <x v="2"/>
      <x v="4"/>
      <x v="4"/>
      <x/>
      <x v="3"/>
    </i>
    <i r="1">
      <x v="54"/>
      <x v="1"/>
      <x/>
      <x/>
      <x/>
      <x v="4"/>
      <x v="4"/>
      <x/>
      <x/>
    </i>
    <i r="1">
      <x v="55"/>
      <x/>
      <x v="1"/>
      <x/>
      <x v="1"/>
      <x v="1"/>
      <x v="1"/>
      <x/>
      <x v="1"/>
    </i>
    <i r="3">
      <x v="2"/>
      <x/>
      <x/>
      <x v="5"/>
      <x v="5"/>
      <x/>
      <x v="2"/>
    </i>
    <i r="1">
      <x v="56"/>
      <x v="4"/>
      <x v="4"/>
      <x/>
      <x v="2"/>
      <x v="5"/>
      <x v="5"/>
      <x/>
      <x v="17"/>
    </i>
    <i r="1">
      <x v="57"/>
      <x v="1"/>
      <x v="4"/>
      <x/>
      <x v="6"/>
      <x v="4"/>
      <x v="4"/>
      <x/>
      <x v="18"/>
    </i>
    <i r="1">
      <x v="58"/>
      <x/>
      <x v="5"/>
      <x/>
      <x v="5"/>
      <x v="5"/>
      <x v="5"/>
      <x/>
      <x v="16"/>
    </i>
    <i r="1">
      <x v="59"/>
      <x v="1"/>
      <x v="4"/>
      <x/>
      <x v="2"/>
      <x v="4"/>
      <x v="4"/>
      <x/>
      <x v="14"/>
    </i>
    <i r="1">
      <x v="60"/>
      <x/>
      <x v="7"/>
      <x/>
      <x v="6"/>
      <x v="3"/>
      <x v="3"/>
      <x/>
      <x v="15"/>
    </i>
    <i r="1">
      <x v="61"/>
      <x v="3"/>
      <x v="4"/>
      <x/>
      <x/>
      <x v="4"/>
      <x v="4"/>
      <x/>
      <x v="13"/>
    </i>
    <i r="1">
      <x v="62"/>
      <x v="2"/>
      <x v="6"/>
      <x/>
      <x v="4"/>
      <x v="4"/>
      <x v="4"/>
      <x/>
      <x v="12"/>
    </i>
    <i r="1">
      <x v="63"/>
      <x v="1"/>
      <x v="3"/>
      <x/>
      <x/>
      <x v="3"/>
      <x v="3"/>
      <x/>
      <x v="11"/>
    </i>
    <i r="1">
      <x v="64"/>
      <x/>
      <x v="6"/>
      <x/>
      <x v="4"/>
      <x v="4"/>
      <x v="4"/>
      <x/>
      <x v="9"/>
    </i>
    <i r="3">
      <x v="7"/>
      <x/>
      <x/>
      <x v="3"/>
      <x v="3"/>
      <x/>
      <x v="10"/>
    </i>
    <i r="1">
      <x v="65"/>
      <x v="4"/>
      <x v="6"/>
      <x/>
      <x v="5"/>
      <x v="4"/>
      <x v="4"/>
      <x/>
      <x v="8"/>
    </i>
    <i r="1">
      <x v="66"/>
      <x v="3"/>
      <x v="4"/>
      <x/>
      <x v="4"/>
      <x v="4"/>
      <x v="4"/>
      <x/>
      <x v="7"/>
    </i>
    <i r="1">
      <x v="67"/>
      <x v="2"/>
      <x v="5"/>
      <x/>
      <x v="4"/>
      <x v="4"/>
      <x v="4"/>
      <x/>
      <x v="6"/>
    </i>
    <i r="1">
      <x v="68"/>
      <x v="1"/>
      <x/>
      <x/>
      <x v="3"/>
      <x v="3"/>
      <x v="3"/>
      <x/>
      <x v="5"/>
    </i>
    <i r="1">
      <x v="69"/>
      <x/>
      <x v="4"/>
      <x/>
      <x v="2"/>
      <x v="4"/>
      <x v="4"/>
      <x/>
      <x v="4"/>
    </i>
    <i r="3">
      <x/>
      <x/>
      <x/>
      <x v="3"/>
      <x v="3"/>
      <x/>
      <x/>
    </i>
    <i r="3">
      <x v="3"/>
      <x/>
      <x v="2"/>
      <x v="3"/>
      <x v="3"/>
      <x/>
      <x v="3"/>
    </i>
    <i r="1">
      <x v="70"/>
      <x v="4"/>
      <x v="2"/>
      <x/>
      <x/>
      <x v="4"/>
      <x v="4"/>
      <x/>
      <x v="2"/>
    </i>
    <i r="1">
      <x v="71"/>
      <x v="3"/>
      <x v="1"/>
      <x/>
      <x v="1"/>
      <x v="1"/>
      <x v="1"/>
      <x/>
      <x v="1"/>
    </i>
    <i r="1">
      <x v="72"/>
      <x v="1"/>
      <x v="4"/>
      <x/>
      <x v="6"/>
      <x v="3"/>
      <x v="3"/>
      <x/>
      <x v="18"/>
    </i>
    <i r="1">
      <x v="73"/>
      <x v="4"/>
      <x v="4"/>
      <x/>
      <x v="2"/>
      <x v="4"/>
      <x v="4"/>
      <x/>
      <x v="17"/>
    </i>
    <i r="1">
      <x v="74"/>
      <x v="3"/>
      <x v="5"/>
      <x/>
      <x v="5"/>
      <x v="4"/>
      <x v="4"/>
      <x/>
      <x v="16"/>
    </i>
    <i r="1">
      <x v="75"/>
      <x v="1"/>
      <x v="4"/>
      <x/>
      <x v="2"/>
      <x v="3"/>
      <x v="3"/>
      <x/>
      <x v="14"/>
    </i>
    <i r="1">
      <x v="76"/>
      <x v="3"/>
      <x v="7"/>
      <x/>
      <x v="6"/>
      <x v="2"/>
      <x v="2"/>
      <x/>
      <x v="15"/>
    </i>
    <i r="1">
      <x v="77"/>
      <x/>
      <x v="4"/>
      <x/>
      <x/>
      <x v="3"/>
      <x v="3"/>
      <x/>
      <x v="13"/>
    </i>
    <i r="3">
      <x v="3"/>
      <x/>
      <x/>
      <x v="2"/>
      <x v="2"/>
      <x/>
      <x v="11"/>
    </i>
    <i r="3">
      <x v="6"/>
      <x/>
      <x v="4"/>
      <x v="3"/>
      <x v="3"/>
      <x/>
      <x v="12"/>
    </i>
    <i r="1">
      <x v="78"/>
      <x v="4"/>
      <x v="7"/>
      <x/>
      <x/>
      <x v="2"/>
      <x v="2"/>
      <x/>
      <x v="10"/>
    </i>
    <i r="1">
      <x v="79"/>
      <x v="3"/>
      <x v="6"/>
      <x/>
      <x v="4"/>
      <x v="3"/>
      <x v="3"/>
      <x/>
      <x v="9"/>
    </i>
    <i r="1">
      <x v="80"/>
      <x v="1"/>
      <x v="6"/>
      <x/>
      <x v="5"/>
      <x v="3"/>
      <x v="3"/>
      <x/>
      <x v="8"/>
    </i>
    <i r="1">
      <x v="81"/>
      <x/>
      <x v="4"/>
      <x/>
      <x v="4"/>
      <x v="3"/>
      <x v="3"/>
      <x/>
      <x v="7"/>
    </i>
    <i r="3">
      <x/>
      <x/>
      <x v="3"/>
      <x v="2"/>
      <x v="2"/>
      <x/>
      <x v="5"/>
    </i>
    <i r="3">
      <x v="5"/>
      <x/>
      <x v="4"/>
      <x v="3"/>
      <x v="3"/>
      <x/>
      <x v="6"/>
    </i>
    <i r="1">
      <x v="82"/>
      <x v="4"/>
      <x v="4"/>
      <x/>
      <x v="2"/>
      <x v="3"/>
      <x v="3"/>
      <x/>
      <x v="4"/>
    </i>
    <i r="1">
      <x v="83"/>
      <x v="3"/>
      <x v="3"/>
      <x/>
      <x v="2"/>
      <x v="2"/>
      <x v="2"/>
      <x/>
      <x v="3"/>
    </i>
    <i r="1">
      <x v="84"/>
      <x v="2"/>
      <x/>
      <x/>
      <x/>
      <x v="2"/>
      <x v="2"/>
      <x/>
      <x/>
    </i>
    <i r="1">
      <x v="85"/>
      <x v="1"/>
      <x v="4"/>
      <x/>
      <x v="6"/>
      <x v="2"/>
      <x v="2"/>
      <x/>
      <x v="18"/>
    </i>
    <i r="3">
      <x v="2"/>
      <x/>
      <x/>
      <x v="3"/>
      <x v="3"/>
      <x/>
      <x v="2"/>
    </i>
    <i r="1">
      <x v="86"/>
      <x/>
      <x v="1"/>
      <x/>
      <x v="1"/>
      <x v="1"/>
      <x v="1"/>
      <x/>
      <x v="1"/>
    </i>
    <i r="1">
      <x v="87"/>
      <x v="4"/>
      <x v="4"/>
      <x/>
      <x v="2"/>
      <x v="3"/>
      <x v="3"/>
      <x/>
      <x v="17"/>
    </i>
    <i r="1">
      <x v="88"/>
      <x/>
      <x v="5"/>
      <x/>
      <x v="5"/>
      <x v="3"/>
      <x v="3"/>
      <x/>
      <x v="16"/>
    </i>
    <i r="1">
      <x v="89"/>
      <x v="1"/>
      <x v="4"/>
      <x/>
      <x v="2"/>
      <x v="2"/>
      <x v="2"/>
      <x/>
      <x v="14"/>
    </i>
    <i r="3">
      <x v="7"/>
      <x/>
      <x v="6"/>
      <x/>
      <x/>
      <x/>
      <x v="15"/>
    </i>
    <i r="1">
      <x v="90"/>
      <x/>
      <x v="4"/>
      <x/>
      <x/>
      <x v="2"/>
      <x v="2"/>
      <x/>
      <x v="13"/>
    </i>
    <i r="1">
      <x v="91"/>
      <x v="4"/>
      <x v="6"/>
      <x/>
      <x v="4"/>
      <x v="2"/>
      <x v="2"/>
      <x/>
      <x v="12"/>
    </i>
    <i r="1">
      <x v="92"/>
      <x v="3"/>
      <x v="3"/>
      <x/>
      <x/>
      <x/>
      <x/>
      <x/>
      <x v="11"/>
    </i>
    <i r="1">
      <x v="93"/>
      <x v="2"/>
      <x v="7"/>
      <x/>
      <x/>
      <x/>
      <x/>
      <x/>
      <x v="10"/>
    </i>
    <i r="1">
      <x v="94"/>
      <x v="1"/>
      <x v="6"/>
      <x/>
      <x v="4"/>
      <x v="2"/>
      <x v="2"/>
      <x/>
      <x v="9"/>
    </i>
    <i r="1">
      <x v="95"/>
      <x/>
      <x v="4"/>
      <x/>
      <x v="4"/>
      <x v="2"/>
      <x v="2"/>
      <x/>
      <x v="7"/>
    </i>
    <i r="3">
      <x v="6"/>
      <x/>
      <x v="5"/>
      <x v="2"/>
      <x v="2"/>
      <x/>
      <x v="8"/>
    </i>
    <i r="1">
      <x v="96"/>
      <x v="4"/>
      <x v="5"/>
      <x/>
      <x v="4"/>
      <x v="2"/>
      <x v="2"/>
      <x/>
      <x v="6"/>
    </i>
    <i r="1">
      <x v="97"/>
      <x v="3"/>
      <x/>
      <x/>
      <x v="3"/>
      <x/>
      <x/>
      <x/>
      <x v="5"/>
    </i>
    <i r="1">
      <x v="98"/>
      <x v="2"/>
      <x v="4"/>
      <x/>
      <x v="2"/>
      <x v="2"/>
      <x v="2"/>
      <x/>
      <x v="4"/>
    </i>
    <i r="1">
      <x v="99"/>
      <x v="1"/>
      <x v="3"/>
      <x/>
      <x v="2"/>
      <x/>
      <x/>
      <x/>
      <x v="3"/>
    </i>
    <i r="1">
      <x v="100"/>
      <x/>
      <x/>
      <x/>
      <x/>
      <x/>
      <x/>
      <x/>
      <x/>
    </i>
    <i r="3">
      <x v="1"/>
      <x/>
      <x v="1"/>
      <x v="1"/>
      <x v="1"/>
      <x/>
      <x v="1"/>
    </i>
    <i r="3">
      <x v="2"/>
      <x/>
      <x/>
      <x v="2"/>
      <x v="2"/>
      <x/>
      <x v="2"/>
    </i>
    <i>
      <x v="1"/>
      <x v="101"/>
      <x v="4"/>
      <x v="4"/>
      <x/>
      <x v="2"/>
      <x v="2"/>
      <x v="2"/>
      <x/>
      <x v="17"/>
    </i>
    <i r="1">
      <x v="102"/>
      <x v="1"/>
      <x v="4"/>
      <x/>
      <x v="6"/>
      <x/>
      <x/>
      <x/>
      <x v="18"/>
    </i>
    <i r="1">
      <x v="103"/>
      <x/>
      <x v="5"/>
      <x/>
      <x v="5"/>
      <x v="2"/>
      <x v="2"/>
      <x/>
      <x v="16"/>
    </i>
    <i r="1">
      <x v="104"/>
      <x v="1"/>
      <x v="4"/>
      <x/>
      <x v="2"/>
      <x/>
      <x/>
      <x/>
      <x v="14"/>
    </i>
    <i r="1">
      <x v="105"/>
      <x/>
      <x v="7"/>
      <x/>
      <x v="6"/>
      <x v="12"/>
      <x v="12"/>
      <x/>
      <x v="15"/>
    </i>
    <i r="1">
      <x v="106"/>
      <x v="2"/>
      <x v="4"/>
      <x/>
      <x/>
      <x/>
      <x/>
      <x/>
      <x v="13"/>
    </i>
    <i r="1">
      <x v="107"/>
      <x v="1"/>
      <x v="6"/>
      <x/>
      <x v="4"/>
      <x/>
      <x/>
      <x/>
      <x v="12"/>
    </i>
    <i r="1">
      <x v="108"/>
      <x/>
      <x v="3"/>
      <x/>
      <x/>
      <x v="12"/>
      <x v="12"/>
      <x/>
      <x v="11"/>
    </i>
    <i r="3">
      <x v="6"/>
      <x/>
      <x v="4"/>
      <x/>
      <x/>
      <x/>
      <x v="9"/>
    </i>
    <i r="3">
      <x v="7"/>
      <x/>
      <x/>
      <x v="12"/>
      <x v="12"/>
      <x/>
      <x v="10"/>
    </i>
    <i r="1">
      <x v="109"/>
      <x v="3"/>
      <x v="6"/>
      <x/>
      <x v="5"/>
      <x/>
      <x/>
      <x/>
      <x v="8"/>
    </i>
    <i r="1">
      <x v="110"/>
      <x v="2"/>
      <x v="4"/>
      <x/>
      <x v="4"/>
      <x/>
      <x/>
      <x/>
      <x v="7"/>
    </i>
    <i r="1">
      <x v="111"/>
      <x v="1"/>
      <x v="5"/>
      <x/>
      <x v="4"/>
      <x/>
      <x/>
      <x/>
      <x v="6"/>
    </i>
    <i r="1">
      <x v="112"/>
      <x/>
      <x v="4"/>
      <x/>
      <x v="2"/>
      <x/>
      <x/>
      <x/>
      <x v="4"/>
    </i>
    <i r="3">
      <x/>
      <x/>
      <x v="3"/>
      <x v="12"/>
      <x v="12"/>
      <x/>
      <x v="5"/>
    </i>
    <i r="3">
      <x v="3"/>
      <x/>
      <x v="2"/>
      <x v="12"/>
      <x v="12"/>
      <x/>
      <x v="3"/>
    </i>
    <i r="1">
      <x v="113"/>
      <x v="4"/>
      <x/>
      <x/>
      <x/>
      <x v="12"/>
      <x v="12"/>
      <x/>
      <x/>
    </i>
    <i r="1">
      <x v="114"/>
      <x v="3"/>
      <x v="2"/>
      <x/>
      <x/>
      <x/>
      <x/>
      <x/>
      <x v="2"/>
    </i>
    <i r="1">
      <x v="115"/>
      <x v="2"/>
      <x v="1"/>
      <x/>
      <x v="1"/>
      <x v="1"/>
      <x v="1"/>
      <x/>
      <x v="1"/>
    </i>
    <i r="1">
      <x v="116"/>
      <x v="1"/>
      <x v="4"/>
      <x/>
      <x v="6"/>
      <x v="12"/>
      <x v="12"/>
      <x/>
      <x v="18"/>
    </i>
    <i r="1">
      <x v="117"/>
      <x v="4"/>
      <x v="4"/>
      <x/>
      <x v="2"/>
      <x/>
      <x/>
      <x/>
      <x v="17"/>
    </i>
    <i r="1">
      <x v="118"/>
      <x v="2"/>
      <x v="5"/>
      <x/>
      <x v="5"/>
      <x/>
      <x/>
      <x/>
      <x v="16"/>
    </i>
    <i r="1">
      <x v="119"/>
      <x v="1"/>
      <x v="4"/>
      <x/>
      <x v="2"/>
      <x v="12"/>
      <x v="12"/>
      <x/>
      <x v="14"/>
    </i>
    <i r="1">
      <x v="120"/>
      <x v="3"/>
      <x v="7"/>
      <x/>
      <x v="6"/>
      <x v="11"/>
      <x v="11"/>
      <x/>
      <x v="15"/>
    </i>
    <i r="1">
      <x v="121"/>
      <x/>
      <x v="4"/>
      <x/>
      <x/>
      <x v="12"/>
      <x v="12"/>
      <x/>
      <x v="13"/>
    </i>
    <i r="3">
      <x v="3"/>
      <x/>
      <x/>
      <x v="11"/>
      <x v="11"/>
      <x/>
      <x v="11"/>
    </i>
    <i r="3">
      <x v="6"/>
      <x/>
      <x v="4"/>
      <x v="12"/>
      <x v="12"/>
      <x/>
      <x v="12"/>
    </i>
    <i r="1">
      <x v="122"/>
      <x v="4"/>
      <x v="7"/>
      <x/>
      <x/>
      <x v="11"/>
      <x v="11"/>
      <x/>
      <x v="10"/>
    </i>
    <i r="1">
      <x v="123"/>
      <x v="3"/>
      <x v="6"/>
      <x/>
      <x v="4"/>
      <x v="12"/>
      <x v="12"/>
      <x/>
      <x v="9"/>
    </i>
    <i r="1">
      <x v="124"/>
      <x v="1"/>
      <x v="6"/>
      <x/>
      <x v="5"/>
      <x v="12"/>
      <x v="12"/>
      <x/>
      <x v="8"/>
    </i>
    <i r="1">
      <x v="125"/>
      <x/>
      <x v="4"/>
      <x/>
      <x v="4"/>
      <x v="12"/>
      <x v="12"/>
      <x/>
      <x v="7"/>
    </i>
    <i r="3">
      <x/>
      <x/>
      <x v="3"/>
      <x v="11"/>
      <x v="11"/>
      <x/>
      <x v="5"/>
    </i>
    <i r="3">
      <x v="5"/>
      <x/>
      <x v="4"/>
      <x v="12"/>
      <x v="12"/>
      <x/>
      <x v="6"/>
    </i>
    <i r="1">
      <x v="126"/>
      <x v="4"/>
      <x v="4"/>
      <x/>
      <x v="2"/>
      <x v="12"/>
      <x v="12"/>
      <x/>
      <x v="4"/>
    </i>
    <i r="1">
      <x v="127"/>
      <x v="3"/>
      <x v="3"/>
      <x/>
      <x v="2"/>
      <x v="11"/>
      <x v="11"/>
      <x/>
      <x v="3"/>
    </i>
    <i r="1">
      <x v="128"/>
      <x v="2"/>
      <x/>
      <x/>
      <x/>
      <x v="11"/>
      <x v="11"/>
      <x/>
      <x/>
    </i>
    <i r="1">
      <x v="129"/>
      <x v="1"/>
      <x v="4"/>
      <x/>
      <x v="6"/>
      <x v="11"/>
      <x v="11"/>
      <x/>
      <x v="18"/>
    </i>
    <i r="3">
      <x v="2"/>
      <x/>
      <x/>
      <x v="12"/>
      <x v="12"/>
      <x/>
      <x v="2"/>
    </i>
    <i r="1">
      <x v="130"/>
      <x/>
      <x v="1"/>
      <x/>
      <x v="1"/>
      <x v="1"/>
      <x v="1"/>
      <x/>
      <x v="1"/>
    </i>
    <i r="1">
      <x v="131"/>
      <x v="4"/>
      <x v="4"/>
      <x/>
      <x v="2"/>
      <x v="12"/>
      <x v="12"/>
      <x/>
      <x v="17"/>
    </i>
    <i r="1">
      <x v="132"/>
      <x/>
      <x v="5"/>
      <x/>
      <x v="5"/>
      <x v="12"/>
      <x v="12"/>
      <x/>
      <x v="16"/>
    </i>
    <i r="1">
      <x v="133"/>
      <x v="1"/>
      <x v="4"/>
      <x/>
      <x v="2"/>
      <x v="11"/>
      <x v="11"/>
      <x/>
      <x v="14"/>
    </i>
    <i r="1">
      <x v="134"/>
      <x/>
      <x v="7"/>
      <x/>
      <x v="6"/>
      <x v="10"/>
      <x v="10"/>
      <x/>
      <x v="15"/>
    </i>
    <i r="1">
      <x v="135"/>
      <x v="4"/>
      <x v="4"/>
      <x/>
      <x/>
      <x v="11"/>
      <x v="11"/>
      <x/>
      <x v="13"/>
    </i>
    <i r="1">
      <x v="136"/>
      <x v="3"/>
      <x v="6"/>
      <x/>
      <x v="4"/>
      <x v="11"/>
      <x v="11"/>
      <x/>
      <x v="12"/>
    </i>
    <i r="1">
      <x v="137"/>
      <x v="2"/>
      <x v="3"/>
      <x/>
      <x/>
      <x v="10"/>
      <x v="10"/>
      <x/>
      <x v="11"/>
    </i>
    <i r="1">
      <x v="138"/>
      <x v="1"/>
      <x v="7"/>
      <x/>
      <x/>
      <x v="10"/>
      <x v="10"/>
      <x/>
      <x v="10"/>
    </i>
    <i r="1">
      <x v="139"/>
      <x/>
      <x v="6"/>
      <x/>
      <x v="4"/>
      <x v="11"/>
      <x v="11"/>
      <x/>
      <x v="9"/>
    </i>
    <i r="5">
      <x v="5"/>
      <x v="11"/>
      <x v="11"/>
      <x/>
      <x v="8"/>
    </i>
    <i r="1">
      <x v="140"/>
      <x v="4"/>
      <x v="4"/>
      <x/>
      <x v="4"/>
      <x v="11"/>
      <x v="11"/>
      <x/>
      <x v="7"/>
    </i>
    <i r="1">
      <x v="141"/>
      <x v="3"/>
      <x v="5"/>
      <x/>
      <x v="4"/>
      <x v="11"/>
      <x v="11"/>
      <x/>
      <x v="6"/>
    </i>
    <i r="1">
      <x v="142"/>
      <x v="2"/>
      <x/>
      <x/>
      <x v="3"/>
      <x v="10"/>
      <x v="10"/>
      <x/>
      <x v="5"/>
    </i>
    <i r="1">
      <x v="143"/>
      <x v="1"/>
      <x v="4"/>
      <x/>
      <x v="2"/>
      <x v="11"/>
      <x v="11"/>
      <x/>
      <x v="4"/>
    </i>
    <i r="1">
      <x v="144"/>
      <x/>
      <x/>
      <x/>
      <x/>
      <x v="10"/>
      <x v="10"/>
      <x/>
      <x/>
    </i>
    <i r="3">
      <x v="3"/>
      <x/>
      <x v="2"/>
      <x v="10"/>
      <x v="10"/>
      <x/>
      <x v="3"/>
    </i>
    <i r="3">
      <x v="2"/>
      <x/>
      <x/>
      <x v="11"/>
      <x v="11"/>
      <x/>
      <x v="2"/>
    </i>
    <i r="1">
      <x v="145"/>
      <x v="4"/>
      <x v="1"/>
      <x/>
      <x v="1"/>
      <x v="1"/>
      <x v="1"/>
      <x/>
      <x v="1"/>
    </i>
    <i r="1">
      <x v="146"/>
      <x v="1"/>
      <x v="4"/>
      <x/>
      <x v="6"/>
      <x v="10"/>
      <x v="10"/>
      <x/>
      <x v="18"/>
    </i>
    <i r="1">
      <x v="147"/>
      <x v="4"/>
      <x v="4"/>
      <x/>
      <x v="2"/>
      <x v="11"/>
      <x v="11"/>
      <x/>
      <x v="17"/>
    </i>
    <i r="3">
      <x v="5"/>
      <x/>
      <x v="5"/>
      <x v="11"/>
      <x v="11"/>
      <x/>
      <x v="16"/>
    </i>
    <i r="1">
      <x v="148"/>
      <x v="1"/>
      <x v="4"/>
      <x/>
      <x v="2"/>
      <x v="10"/>
      <x v="10"/>
      <x/>
      <x v="14"/>
    </i>
    <i r="1">
      <x v="149"/>
      <x/>
      <x v="7"/>
      <x/>
      <x v="6"/>
      <x v="9"/>
      <x v="9"/>
      <x/>
      <x v="15"/>
    </i>
    <i r="1">
      <x v="150"/>
      <x v="4"/>
      <x v="4"/>
      <x/>
      <x/>
      <x v="10"/>
      <x v="10"/>
      <x/>
      <x v="13"/>
    </i>
    <i r="1">
      <x v="151"/>
      <x v="3"/>
      <x v="6"/>
      <x/>
      <x v="4"/>
      <x v="10"/>
      <x v="10"/>
      <x/>
      <x v="12"/>
    </i>
    <i r="1">
      <x v="152"/>
      <x v="2"/>
      <x v="3"/>
      <x/>
      <x/>
      <x v="9"/>
      <x v="9"/>
      <x/>
      <x v="11"/>
    </i>
    <i r="1">
      <x v="153"/>
      <x v="1"/>
      <x v="7"/>
      <x/>
      <x/>
      <x v="9"/>
      <x v="9"/>
      <x/>
      <x v="10"/>
    </i>
    <i r="1">
      <x v="154"/>
      <x/>
      <x v="6"/>
      <x/>
      <x v="4"/>
      <x v="10"/>
      <x v="10"/>
      <x/>
      <x v="9"/>
    </i>
    <i r="5">
      <x v="5"/>
      <x v="10"/>
      <x v="10"/>
      <x/>
      <x v="8"/>
    </i>
    <i r="1">
      <x v="155"/>
      <x v="4"/>
      <x v="4"/>
      <x/>
      <x v="4"/>
      <x v="10"/>
      <x v="10"/>
      <x/>
      <x v="7"/>
    </i>
    <i r="1">
      <x v="156"/>
      <x v="3"/>
      <x v="5"/>
      <x/>
      <x v="4"/>
      <x v="10"/>
      <x v="10"/>
      <x/>
      <x v="6"/>
    </i>
    <i r="1">
      <x v="157"/>
      <x v="2"/>
      <x/>
      <x/>
      <x v="3"/>
      <x v="9"/>
      <x v="9"/>
      <x/>
      <x v="5"/>
    </i>
    <i r="1">
      <x v="158"/>
      <x v="1"/>
      <x v="4"/>
      <x/>
      <x v="2"/>
      <x v="10"/>
      <x v="10"/>
      <x/>
      <x v="4"/>
    </i>
    <i r="1">
      <x v="159"/>
      <x/>
      <x/>
      <x/>
      <x/>
      <x v="9"/>
      <x v="9"/>
      <x/>
      <x/>
    </i>
    <i r="3">
      <x v="3"/>
      <x/>
      <x v="2"/>
      <x v="9"/>
      <x v="9"/>
      <x/>
      <x v="3"/>
    </i>
    <i r="3">
      <x v="2"/>
      <x/>
      <x/>
      <x v="10"/>
      <x v="10"/>
      <x/>
      <x v="2"/>
    </i>
    <i r="1">
      <x v="160"/>
      <x v="4"/>
      <x v="1"/>
      <x/>
      <x v="1"/>
      <x v="1"/>
      <x v="1"/>
      <x/>
      <x v="1"/>
    </i>
    <i r="1">
      <x v="161"/>
      <x v="1"/>
      <x v="4"/>
      <x/>
      <x v="6"/>
      <x v="9"/>
      <x v="9"/>
      <x/>
      <x v="18"/>
    </i>
    <i r="1">
      <x v="162"/>
      <x v="4"/>
      <x v="4"/>
      <x/>
      <x v="2"/>
      <x v="10"/>
      <x v="10"/>
      <x/>
      <x v="17"/>
    </i>
    <i r="3">
      <x v="5"/>
      <x/>
      <x v="5"/>
      <x v="10"/>
      <x v="10"/>
      <x/>
      <x v="16"/>
    </i>
    <i r="1">
      <x v="163"/>
      <x v="1"/>
      <x v="4"/>
      <x/>
      <x v="2"/>
      <x v="9"/>
      <x v="9"/>
      <x/>
      <x v="14"/>
    </i>
    <i r="1">
      <x v="164"/>
      <x v="4"/>
      <x v="7"/>
      <x/>
      <x v="6"/>
      <x v="8"/>
      <x v="8"/>
      <x/>
      <x v="15"/>
    </i>
    <i r="1">
      <x v="165"/>
      <x v="1"/>
      <x v="4"/>
      <x/>
      <x/>
      <x v="9"/>
      <x v="9"/>
      <x/>
      <x v="13"/>
    </i>
    <i r="1">
      <x v="166"/>
      <x/>
      <x v="3"/>
      <x/>
      <x/>
      <x v="8"/>
      <x v="8"/>
      <x/>
      <x v="11"/>
    </i>
    <i r="3">
      <x v="6"/>
      <x/>
      <x v="4"/>
      <x v="9"/>
      <x v="9"/>
      <x/>
      <x v="12"/>
    </i>
    <i r="3">
      <x v="7"/>
      <x/>
      <x/>
      <x v="8"/>
      <x v="8"/>
      <x/>
      <x v="10"/>
    </i>
    <i r="1">
      <x v="167"/>
      <x v="4"/>
      <x v="6"/>
      <x/>
      <x v="4"/>
      <x v="9"/>
      <x v="9"/>
      <x/>
      <x v="9"/>
    </i>
    <i r="1">
      <x v="168"/>
      <x v="2"/>
      <x v="6"/>
      <x/>
      <x v="5"/>
      <x v="9"/>
      <x v="9"/>
      <x/>
      <x v="8"/>
    </i>
    <i r="1">
      <x v="169"/>
      <x v="1"/>
      <x v="4"/>
      <x/>
      <x v="4"/>
      <x v="9"/>
      <x v="9"/>
      <x/>
      <x v="7"/>
    </i>
    <i r="1">
      <x v="170"/>
      <x/>
      <x v="4"/>
      <x/>
      <x v="2"/>
      <x v="9"/>
      <x v="9"/>
      <x/>
      <x v="4"/>
    </i>
    <i r="3">
      <x/>
      <x/>
      <x v="3"/>
      <x v="8"/>
      <x v="8"/>
      <x/>
      <x v="5"/>
    </i>
    <i r="3">
      <x v="5"/>
      <x/>
      <x v="4"/>
      <x v="9"/>
      <x v="9"/>
      <x/>
      <x v="6"/>
    </i>
    <i r="1">
      <x v="171"/>
      <x v="4"/>
      <x v="3"/>
      <x/>
      <x v="2"/>
      <x v="8"/>
      <x v="8"/>
      <x/>
      <x v="3"/>
    </i>
    <i r="1">
      <x v="172"/>
      <x v="3"/>
      <x/>
      <x/>
      <x/>
      <x v="8"/>
      <x v="8"/>
      <x/>
      <x/>
    </i>
    <i r="1">
      <x v="173"/>
      <x v="2"/>
      <x v="2"/>
      <x/>
      <x/>
      <x v="9"/>
      <x v="9"/>
      <x/>
      <x v="2"/>
    </i>
    <i r="1">
      <x v="174"/>
      <x v="1"/>
      <x v="4"/>
      <x/>
      <x v="6"/>
      <x v="8"/>
      <x v="8"/>
      <x/>
      <x v="18"/>
    </i>
    <i r="3">
      <x v="1"/>
      <x/>
      <x v="1"/>
      <x v="1"/>
      <x v="1"/>
      <x/>
      <x v="1"/>
    </i>
    <i r="1">
      <x v="175"/>
      <x v="4"/>
      <x v="4"/>
      <x/>
      <x v="2"/>
      <x v="9"/>
      <x v="9"/>
      <x/>
      <x v="17"/>
    </i>
    <i r="1">
      <x v="176"/>
      <x v="1"/>
      <x v="5"/>
      <x/>
      <x v="5"/>
      <x v="9"/>
      <x v="9"/>
      <x/>
      <x v="16"/>
    </i>
  </rowItems>
  <formats count="213">
    <format dxfId="229">
      <pivotArea dataOnly="0" labelOnly="1" outline="0" fieldPosition="0">
        <references count="1">
          <reference field="0" count="17">
            <x v="1048832"/>
            <x v="1048832"/>
            <x v="1048832"/>
            <x v="1048832"/>
            <x v="1048832"/>
            <x v="1048832"/>
            <x v="1048832"/>
            <x v="1048832"/>
            <x v="1048832"/>
            <x v="1048832"/>
            <x v="1048832"/>
            <x v="1048832"/>
            <x v="1048832"/>
            <x v="1048832"/>
            <x v="1048832"/>
            <x v="1048832"/>
            <x v="1048832"/>
          </reference>
        </references>
      </pivotArea>
    </format>
    <format dxfId="228">
      <pivotArea dataOnly="0" labelOnly="1" outline="0" fieldPosition="0">
        <references count="1">
          <reference field="0" count="37">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reference>
        </references>
      </pivotArea>
    </format>
    <format dxfId="227">
      <pivotArea dataOnly="0" labelOnly="1" outline="0" fieldPosition="0">
        <references count="1">
          <reference field="0" count="34">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reference>
        </references>
      </pivotArea>
    </format>
    <format dxfId="226">
      <pivotArea dataOnly="0" labelOnly="1" outline="0" fieldPosition="0">
        <references count="1">
          <reference field="0" count="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reference>
        </references>
      </pivotArea>
    </format>
    <format dxfId="225">
      <pivotArea dataOnly="0" labelOnly="1" outline="0" fieldPosition="0">
        <references count="1">
          <reference field="0" count="30">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reference>
        </references>
      </pivotArea>
    </format>
    <format dxfId="224">
      <pivotArea dataOnly="0" labelOnly="1" outline="0" fieldPosition="0">
        <references count="1">
          <reference field="0" count="25">
            <x v="1048832"/>
            <x v="1048832"/>
            <x v="1048832"/>
            <x v="1048832"/>
            <x v="1048832"/>
            <x v="1048832"/>
            <x v="1048832"/>
            <x v="1048832"/>
            <x v="1048832"/>
            <x v="1048832"/>
            <x v="1048832"/>
            <x v="1048832"/>
            <x v="1048832"/>
            <x v="1048832"/>
            <x v="1048832"/>
            <x v="1048832"/>
            <x v="1048832"/>
            <x v="1048832"/>
            <x v="1048832"/>
            <x v="1048832"/>
            <x v="1048832"/>
            <x v="1048832"/>
            <x v="1048832"/>
            <x v="1048832"/>
            <x v="1048832"/>
          </reference>
        </references>
      </pivotArea>
    </format>
    <format dxfId="223">
      <pivotArea dataOnly="0" labelOnly="1" outline="0" fieldPosition="0">
        <references count="2">
          <reference field="0" count="1" selected="0">
            <x v="1048832"/>
          </reference>
          <reference field="1" count="1">
            <x v="0"/>
          </reference>
        </references>
      </pivotArea>
    </format>
    <format dxfId="222">
      <pivotArea dataOnly="0" labelOnly="1" outline="0" fieldPosition="0">
        <references count="2">
          <reference field="0" count="1" selected="0">
            <x v="1048832"/>
          </reference>
          <reference field="1" count="1">
            <x v="1"/>
          </reference>
        </references>
      </pivotArea>
    </format>
    <format dxfId="221">
      <pivotArea dataOnly="0" labelOnly="1" outline="0" fieldPosition="0">
        <references count="2">
          <reference field="0" count="1" selected="0">
            <x v="1048832"/>
          </reference>
          <reference field="1" count="1">
            <x v="4"/>
          </reference>
        </references>
      </pivotArea>
    </format>
    <format dxfId="220">
      <pivotArea dataOnly="0" labelOnly="1" outline="0" fieldPosition="0">
        <references count="2">
          <reference field="0" count="1" selected="0">
            <x v="1048832"/>
          </reference>
          <reference field="1" count="1">
            <x v="0"/>
          </reference>
        </references>
      </pivotArea>
    </format>
    <format dxfId="219">
      <pivotArea dataOnly="0" labelOnly="1" outline="0" fieldPosition="0">
        <references count="2">
          <reference field="0" count="1" selected="0">
            <x v="1048832"/>
          </reference>
          <reference field="1" count="1">
            <x v="1"/>
          </reference>
        </references>
      </pivotArea>
    </format>
    <format dxfId="218">
      <pivotArea dataOnly="0" labelOnly="1" outline="0" fieldPosition="0">
        <references count="2">
          <reference field="0" count="1" selected="0">
            <x v="1048832"/>
          </reference>
          <reference field="1" count="1">
            <x v="2"/>
          </reference>
        </references>
      </pivotArea>
    </format>
    <format dxfId="217">
      <pivotArea dataOnly="0" labelOnly="1" outline="0" fieldPosition="0">
        <references count="2">
          <reference field="0" count="1" selected="0">
            <x v="1048832"/>
          </reference>
          <reference field="1" count="1">
            <x v="3"/>
          </reference>
        </references>
      </pivotArea>
    </format>
    <format dxfId="216">
      <pivotArea dataOnly="0" labelOnly="1" outline="0" fieldPosition="0">
        <references count="2">
          <reference field="0" count="1" selected="0">
            <x v="1048832"/>
          </reference>
          <reference field="1" count="1">
            <x v="4"/>
          </reference>
        </references>
      </pivotArea>
    </format>
    <format dxfId="215">
      <pivotArea dataOnly="0" labelOnly="1" outline="0" fieldPosition="0">
        <references count="2">
          <reference field="0" count="1" selected="0">
            <x v="1048832"/>
          </reference>
          <reference field="1" count="1">
            <x v="0"/>
          </reference>
        </references>
      </pivotArea>
    </format>
    <format dxfId="214">
      <pivotArea dataOnly="0" labelOnly="1" outline="0" fieldPosition="0">
        <references count="2">
          <reference field="0" count="1" selected="0">
            <x v="1048832"/>
          </reference>
          <reference field="1" count="1">
            <x v="2"/>
          </reference>
        </references>
      </pivotArea>
    </format>
    <format dxfId="213">
      <pivotArea dataOnly="0" labelOnly="1" outline="0" fieldPosition="0">
        <references count="2">
          <reference field="0" count="1" selected="0">
            <x v="1048832"/>
          </reference>
          <reference field="1" count="1">
            <x v="3"/>
          </reference>
        </references>
      </pivotArea>
    </format>
    <format dxfId="212">
      <pivotArea dataOnly="0" labelOnly="1" outline="0" fieldPosition="0">
        <references count="2">
          <reference field="0" count="1" selected="0">
            <x v="1048832"/>
          </reference>
          <reference field="1" count="1">
            <x v="4"/>
          </reference>
        </references>
      </pivotArea>
    </format>
    <format dxfId="211">
      <pivotArea dataOnly="0" labelOnly="1" outline="0" fieldPosition="0">
        <references count="2">
          <reference field="0" count="1" selected="0">
            <x v="1048832"/>
          </reference>
          <reference field="1" count="1">
            <x v="0"/>
          </reference>
        </references>
      </pivotArea>
    </format>
    <format dxfId="210">
      <pivotArea dataOnly="0" labelOnly="1" outline="0" fieldPosition="0">
        <references count="2">
          <reference field="0" count="1" selected="0">
            <x v="1048832"/>
          </reference>
          <reference field="1" count="1">
            <x v="2"/>
          </reference>
        </references>
      </pivotArea>
    </format>
    <format dxfId="209">
      <pivotArea dataOnly="0" labelOnly="1" outline="0" fieldPosition="0">
        <references count="2">
          <reference field="0" count="1" selected="0">
            <x v="1048832"/>
          </reference>
          <reference field="1" count="1">
            <x v="1"/>
          </reference>
        </references>
      </pivotArea>
    </format>
    <format dxfId="208">
      <pivotArea dataOnly="0" labelOnly="1" outline="0" fieldPosition="0">
        <references count="2">
          <reference field="0" count="1" selected="0">
            <x v="1048832"/>
          </reference>
          <reference field="1" count="1">
            <x v="2"/>
          </reference>
        </references>
      </pivotArea>
    </format>
    <format dxfId="207">
      <pivotArea dataOnly="0" labelOnly="1" outline="0" fieldPosition="0">
        <references count="2">
          <reference field="0" count="1" selected="0">
            <x v="1048832"/>
          </reference>
          <reference field="1" count="1">
            <x v="4"/>
          </reference>
        </references>
      </pivotArea>
    </format>
    <format dxfId="206">
      <pivotArea dataOnly="0" labelOnly="1" outline="0" fieldPosition="0">
        <references count="2">
          <reference field="0" count="1" selected="0">
            <x v="1048832"/>
          </reference>
          <reference field="1" count="1">
            <x v="1"/>
          </reference>
        </references>
      </pivotArea>
    </format>
    <format dxfId="205">
      <pivotArea dataOnly="0" labelOnly="1" outline="0" fieldPosition="0">
        <references count="2">
          <reference field="0" count="1" selected="0">
            <x v="1048832"/>
          </reference>
          <reference field="1" count="1">
            <x v="2"/>
          </reference>
        </references>
      </pivotArea>
    </format>
    <format dxfId="204">
      <pivotArea dataOnly="0" labelOnly="1" outline="0" fieldPosition="0">
        <references count="2">
          <reference field="0" count="1" selected="0">
            <x v="1048832"/>
          </reference>
          <reference field="1" count="1">
            <x v="3"/>
          </reference>
        </references>
      </pivotArea>
    </format>
    <format dxfId="203">
      <pivotArea dataOnly="0" labelOnly="1" outline="0" fieldPosition="0">
        <references count="2">
          <reference field="0" count="1" selected="0">
            <x v="1048832"/>
          </reference>
          <reference field="1" count="1">
            <x v="4"/>
          </reference>
        </references>
      </pivotArea>
    </format>
    <format dxfId="202">
      <pivotArea dataOnly="0" labelOnly="1" outline="0" fieldPosition="0">
        <references count="2">
          <reference field="0" count="1" selected="0">
            <x v="1048832"/>
          </reference>
          <reference field="1" count="1">
            <x v="0"/>
          </reference>
        </references>
      </pivotArea>
    </format>
    <format dxfId="201">
      <pivotArea dataOnly="0" labelOnly="1" outline="0" fieldPosition="0">
        <references count="2">
          <reference field="0" count="1" selected="0">
            <x v="1048832"/>
          </reference>
          <reference field="1" count="1">
            <x v="1"/>
          </reference>
        </references>
      </pivotArea>
    </format>
    <format dxfId="200">
      <pivotArea dataOnly="0" labelOnly="1" outline="0" fieldPosition="0">
        <references count="2">
          <reference field="0" count="1" selected="0">
            <x v="1048832"/>
          </reference>
          <reference field="1" count="1">
            <x v="2"/>
          </reference>
        </references>
      </pivotArea>
    </format>
    <format dxfId="199">
      <pivotArea dataOnly="0" labelOnly="1" outline="0" fieldPosition="0">
        <references count="2">
          <reference field="0" count="1" selected="0">
            <x v="1048832"/>
          </reference>
          <reference field="1" count="1">
            <x v="3"/>
          </reference>
        </references>
      </pivotArea>
    </format>
    <format dxfId="198">
      <pivotArea dataOnly="0" labelOnly="1" outline="0" fieldPosition="0">
        <references count="2">
          <reference field="0" count="1" selected="0">
            <x v="1048832"/>
          </reference>
          <reference field="1" count="1">
            <x v="0"/>
          </reference>
        </references>
      </pivotArea>
    </format>
    <format dxfId="197">
      <pivotArea dataOnly="0" labelOnly="1" outline="0" fieldPosition="0">
        <references count="2">
          <reference field="0" count="1" selected="0">
            <x v="1048832"/>
          </reference>
          <reference field="1" count="1">
            <x v="1"/>
          </reference>
        </references>
      </pivotArea>
    </format>
    <format dxfId="196">
      <pivotArea dataOnly="0" labelOnly="1" outline="0" fieldPosition="0">
        <references count="2">
          <reference field="0" count="1" selected="0">
            <x v="1048832"/>
          </reference>
          <reference field="1" count="1">
            <x v="2"/>
          </reference>
        </references>
      </pivotArea>
    </format>
    <format dxfId="195">
      <pivotArea dataOnly="0" labelOnly="1" outline="0" fieldPosition="0">
        <references count="2">
          <reference field="0" count="1" selected="0">
            <x v="1048832"/>
          </reference>
          <reference field="1" count="1">
            <x v="0"/>
          </reference>
        </references>
      </pivotArea>
    </format>
    <format dxfId="194">
      <pivotArea dataOnly="0" labelOnly="1" outline="0" fieldPosition="0">
        <references count="2">
          <reference field="0" count="1" selected="0">
            <x v="1048832"/>
          </reference>
          <reference field="1" count="1">
            <x v="1"/>
          </reference>
        </references>
      </pivotArea>
    </format>
    <format dxfId="193">
      <pivotArea dataOnly="0" labelOnly="1" outline="0" fieldPosition="0">
        <references count="2">
          <reference field="0" count="1" selected="0">
            <x v="1048832"/>
          </reference>
          <reference field="1" count="1">
            <x v="2"/>
          </reference>
        </references>
      </pivotArea>
    </format>
    <format dxfId="192">
      <pivotArea dataOnly="0" labelOnly="1" outline="0" fieldPosition="0">
        <references count="2">
          <reference field="0" count="1" selected="0">
            <x v="1048832"/>
          </reference>
          <reference field="1" count="1">
            <x v="4"/>
          </reference>
        </references>
      </pivotArea>
    </format>
    <format dxfId="191">
      <pivotArea dataOnly="0" labelOnly="1" outline="0" fieldPosition="0">
        <references count="2">
          <reference field="0" count="1" selected="0">
            <x v="1048832"/>
          </reference>
          <reference field="1" count="1">
            <x v="1"/>
          </reference>
        </references>
      </pivotArea>
    </format>
    <format dxfId="190">
      <pivotArea dataOnly="0" labelOnly="1" outline="0" fieldPosition="0">
        <references count="2">
          <reference field="0" count="1" selected="0">
            <x v="1048832"/>
          </reference>
          <reference field="1" count="1">
            <x v="2"/>
          </reference>
        </references>
      </pivotArea>
    </format>
    <format dxfId="189">
      <pivotArea dataOnly="0" labelOnly="1" outline="0" fieldPosition="0">
        <references count="2">
          <reference field="0" count="1" selected="0">
            <x v="1048832"/>
          </reference>
          <reference field="1" count="1">
            <x v="3"/>
          </reference>
        </references>
      </pivotArea>
    </format>
    <format dxfId="188">
      <pivotArea dataOnly="0" labelOnly="1" outline="0" fieldPosition="0">
        <references count="2">
          <reference field="0" count="1" selected="0">
            <x v="1048832"/>
          </reference>
          <reference field="1" count="1">
            <x v="4"/>
          </reference>
        </references>
      </pivotArea>
    </format>
    <format dxfId="187">
      <pivotArea dataOnly="0" labelOnly="1" outline="0" fieldPosition="0">
        <references count="2">
          <reference field="0" count="1" selected="0">
            <x v="1048832"/>
          </reference>
          <reference field="1" count="1">
            <x v="0"/>
          </reference>
        </references>
      </pivotArea>
    </format>
    <format dxfId="186">
      <pivotArea dataOnly="0" labelOnly="1" outline="0" fieldPosition="0">
        <references count="2">
          <reference field="0" count="1" selected="0">
            <x v="1048832"/>
          </reference>
          <reference field="1" count="1">
            <x v="1"/>
          </reference>
        </references>
      </pivotArea>
    </format>
    <format dxfId="185">
      <pivotArea dataOnly="0" labelOnly="1" outline="0" fieldPosition="0">
        <references count="2">
          <reference field="0" count="1" selected="0">
            <x v="1048832"/>
          </reference>
          <reference field="1" count="1">
            <x v="2"/>
          </reference>
        </references>
      </pivotArea>
    </format>
    <format dxfId="184">
      <pivotArea dataOnly="0" labelOnly="1" outline="0" fieldPosition="0">
        <references count="2">
          <reference field="0" count="1" selected="0">
            <x v="1048832"/>
          </reference>
          <reference field="1" count="1">
            <x v="3"/>
          </reference>
        </references>
      </pivotArea>
    </format>
    <format dxfId="183">
      <pivotArea dataOnly="0" labelOnly="1" outline="0" fieldPosition="0">
        <references count="2">
          <reference field="0" count="1" selected="0">
            <x v="1048832"/>
          </reference>
          <reference field="1" count="1">
            <x v="0"/>
          </reference>
        </references>
      </pivotArea>
    </format>
    <format dxfId="182">
      <pivotArea dataOnly="0" labelOnly="1" outline="0" fieldPosition="0">
        <references count="2">
          <reference field="0" count="1" selected="0">
            <x v="1048832"/>
          </reference>
          <reference field="1" count="1">
            <x v="1"/>
          </reference>
        </references>
      </pivotArea>
    </format>
    <format dxfId="181">
      <pivotArea dataOnly="0" labelOnly="1" outline="0" fieldPosition="0">
        <references count="2">
          <reference field="0" count="1" selected="0">
            <x v="1048832"/>
          </reference>
          <reference field="1" count="1">
            <x v="2"/>
          </reference>
        </references>
      </pivotArea>
    </format>
    <format dxfId="180">
      <pivotArea dataOnly="0" labelOnly="1" outline="0" fieldPosition="0">
        <references count="2">
          <reference field="0" count="1" selected="0">
            <x v="1048832"/>
          </reference>
          <reference field="1" count="1">
            <x v="0"/>
          </reference>
        </references>
      </pivotArea>
    </format>
    <format dxfId="179">
      <pivotArea dataOnly="0" labelOnly="1" outline="0" fieldPosition="0">
        <references count="2">
          <reference field="0" count="1" selected="0">
            <x v="1048832"/>
          </reference>
          <reference field="1" count="1">
            <x v="1"/>
          </reference>
        </references>
      </pivotArea>
    </format>
    <format dxfId="178">
      <pivotArea dataOnly="0" labelOnly="1" outline="0" fieldPosition="0">
        <references count="2">
          <reference field="0" count="1" selected="0">
            <x v="1048832"/>
          </reference>
          <reference field="1" count="1">
            <x v="0"/>
          </reference>
        </references>
      </pivotArea>
    </format>
    <format dxfId="177">
      <pivotArea dataOnly="0" labelOnly="1" outline="0" fieldPosition="0">
        <references count="2">
          <reference field="0" count="1" selected="0">
            <x v="1048832"/>
          </reference>
          <reference field="1" count="1">
            <x v="1"/>
          </reference>
        </references>
      </pivotArea>
    </format>
    <format dxfId="176">
      <pivotArea dataOnly="0" labelOnly="1" outline="0" fieldPosition="0">
        <references count="2">
          <reference field="0" count="1" selected="0">
            <x v="1048832"/>
          </reference>
          <reference field="1" count="1">
            <x v="4"/>
          </reference>
        </references>
      </pivotArea>
    </format>
    <format dxfId="175">
      <pivotArea dataOnly="0" labelOnly="1" outline="0" fieldPosition="0">
        <references count="2">
          <reference field="0" count="1" selected="0">
            <x v="1048832"/>
          </reference>
          <reference field="1" count="1">
            <x v="0"/>
          </reference>
        </references>
      </pivotArea>
    </format>
    <format dxfId="174">
      <pivotArea dataOnly="0" labelOnly="1" outline="0" fieldPosition="0">
        <references count="2">
          <reference field="0" count="1" selected="0">
            <x v="1048832"/>
          </reference>
          <reference field="1" count="1">
            <x v="1"/>
          </reference>
        </references>
      </pivotArea>
    </format>
    <format dxfId="173">
      <pivotArea dataOnly="0" labelOnly="1" outline="0" fieldPosition="0">
        <references count="2">
          <reference field="0" count="1" selected="0">
            <x v="1048832"/>
          </reference>
          <reference field="1" count="1">
            <x v="2"/>
          </reference>
        </references>
      </pivotArea>
    </format>
    <format dxfId="172">
      <pivotArea dataOnly="0" labelOnly="1" outline="0" fieldPosition="0">
        <references count="2">
          <reference field="0" count="1" selected="0">
            <x v="1048832"/>
          </reference>
          <reference field="1" count="1">
            <x v="3"/>
          </reference>
        </references>
      </pivotArea>
    </format>
    <format dxfId="171">
      <pivotArea dataOnly="0" labelOnly="1" outline="0" fieldPosition="0">
        <references count="2">
          <reference field="0" count="1" selected="0">
            <x v="1048832"/>
          </reference>
          <reference field="1" count="1">
            <x v="4"/>
          </reference>
        </references>
      </pivotArea>
    </format>
    <format dxfId="170">
      <pivotArea dataOnly="0" labelOnly="1" outline="0" fieldPosition="0">
        <references count="2">
          <reference field="0" count="1" selected="0">
            <x v="1048832"/>
          </reference>
          <reference field="1" count="1">
            <x v="0"/>
          </reference>
        </references>
      </pivotArea>
    </format>
    <format dxfId="169">
      <pivotArea dataOnly="0" labelOnly="1" outline="0" fieldPosition="0">
        <references count="2">
          <reference field="0" count="1" selected="0">
            <x v="1048832"/>
          </reference>
          <reference field="1" count="1">
            <x v="1"/>
          </reference>
        </references>
      </pivotArea>
    </format>
    <format dxfId="168">
      <pivotArea dataOnly="0" labelOnly="1" outline="0" fieldPosition="0">
        <references count="2">
          <reference field="0" count="1" selected="0">
            <x v="1048832"/>
          </reference>
          <reference field="1" count="1">
            <x v="2"/>
          </reference>
        </references>
      </pivotArea>
    </format>
    <format dxfId="167">
      <pivotArea dataOnly="0" labelOnly="1" outline="0" fieldPosition="0">
        <references count="2">
          <reference field="0" count="1" selected="0">
            <x v="1048832"/>
          </reference>
          <reference field="1" count="1">
            <x v="3"/>
          </reference>
        </references>
      </pivotArea>
    </format>
    <format dxfId="166">
      <pivotArea dataOnly="0" labelOnly="1" outline="0" fieldPosition="0">
        <references count="2">
          <reference field="0" count="1" selected="0">
            <x v="1048832"/>
          </reference>
          <reference field="1" count="1">
            <x v="4"/>
          </reference>
        </references>
      </pivotArea>
    </format>
    <format dxfId="165">
      <pivotArea dataOnly="0" labelOnly="1" outline="0" fieldPosition="0">
        <references count="2">
          <reference field="0" count="1" selected="0">
            <x v="1048832"/>
          </reference>
          <reference field="1" count="1">
            <x v="0"/>
          </reference>
        </references>
      </pivotArea>
    </format>
    <format dxfId="164">
      <pivotArea dataOnly="0" labelOnly="1" outline="0" fieldPosition="0">
        <references count="2">
          <reference field="0" count="1" selected="0">
            <x v="1048832"/>
          </reference>
          <reference field="1" count="1">
            <x v="1"/>
          </reference>
        </references>
      </pivotArea>
    </format>
    <format dxfId="163">
      <pivotArea dataOnly="0" labelOnly="1" outline="0" fieldPosition="0">
        <references count="2">
          <reference field="0" count="1" selected="0">
            <x v="1048832"/>
          </reference>
          <reference field="1" count="1">
            <x v="1"/>
          </reference>
        </references>
      </pivotArea>
    </format>
    <format dxfId="162">
      <pivotArea dataOnly="0" labelOnly="1" outline="0" fieldPosition="0">
        <references count="2">
          <reference field="0" count="1" selected="0">
            <x v="1048832"/>
          </reference>
          <reference field="1" count="1">
            <x v="4"/>
          </reference>
        </references>
      </pivotArea>
    </format>
    <format dxfId="161">
      <pivotArea dataOnly="0" labelOnly="1" outline="0" fieldPosition="0">
        <references count="2">
          <reference field="0" count="1" selected="0">
            <x v="1048832"/>
          </reference>
          <reference field="1" count="1">
            <x v="0"/>
          </reference>
        </references>
      </pivotArea>
    </format>
    <format dxfId="160">
      <pivotArea dataOnly="0" labelOnly="1" outline="0" fieldPosition="0">
        <references count="2">
          <reference field="0" count="1" selected="0">
            <x v="1048832"/>
          </reference>
          <reference field="1" count="1">
            <x v="1"/>
          </reference>
        </references>
      </pivotArea>
    </format>
    <format dxfId="159">
      <pivotArea dataOnly="0" labelOnly="1" outline="0" fieldPosition="0">
        <references count="2">
          <reference field="0" count="1" selected="0">
            <x v="1048832"/>
          </reference>
          <reference field="1" count="1">
            <x v="2"/>
          </reference>
        </references>
      </pivotArea>
    </format>
    <format dxfId="158">
      <pivotArea dataOnly="0" labelOnly="1" outline="0" fieldPosition="0">
        <references count="2">
          <reference field="0" count="1" selected="0">
            <x v="1048832"/>
          </reference>
          <reference field="1" count="1">
            <x v="3"/>
          </reference>
        </references>
      </pivotArea>
    </format>
    <format dxfId="157">
      <pivotArea dataOnly="0" labelOnly="1" outline="0" fieldPosition="0">
        <references count="2">
          <reference field="0" count="1" selected="0">
            <x v="1048832"/>
          </reference>
          <reference field="1" count="1">
            <x v="4"/>
          </reference>
        </references>
      </pivotArea>
    </format>
    <format dxfId="156">
      <pivotArea dataOnly="0" labelOnly="1" outline="0" fieldPosition="0">
        <references count="2">
          <reference field="0" count="1" selected="0">
            <x v="1048832"/>
          </reference>
          <reference field="1" count="1">
            <x v="0"/>
          </reference>
        </references>
      </pivotArea>
    </format>
    <format dxfId="155">
      <pivotArea dataOnly="0" labelOnly="1" outline="0" fieldPosition="0">
        <references count="2">
          <reference field="0" count="1" selected="0">
            <x v="1048832"/>
          </reference>
          <reference field="1" count="1">
            <x v="1"/>
          </reference>
        </references>
      </pivotArea>
    </format>
    <format dxfId="154">
      <pivotArea dataOnly="0" labelOnly="1" outline="0" fieldPosition="0">
        <references count="2">
          <reference field="0" count="1" selected="0">
            <x v="1048832"/>
          </reference>
          <reference field="1" count="1">
            <x v="3"/>
          </reference>
        </references>
      </pivotArea>
    </format>
    <format dxfId="153">
      <pivotArea dataOnly="0" labelOnly="1" outline="0" fieldPosition="0">
        <references count="2">
          <reference field="0" count="1" selected="0">
            <x v="1048832"/>
          </reference>
          <reference field="1" count="1">
            <x v="4"/>
          </reference>
        </references>
      </pivotArea>
    </format>
    <format dxfId="152">
      <pivotArea dataOnly="0" labelOnly="1" outline="0" fieldPosition="0">
        <references count="2">
          <reference field="0" count="1" selected="0">
            <x v="1048832"/>
          </reference>
          <reference field="1" count="1">
            <x v="0"/>
          </reference>
        </references>
      </pivotArea>
    </format>
    <format dxfId="151">
      <pivotArea dataOnly="0" labelOnly="1" outline="0" fieldPosition="0">
        <references count="2">
          <reference field="0" count="1" selected="0">
            <x v="1048832"/>
          </reference>
          <reference field="1" count="1">
            <x v="3"/>
          </reference>
        </references>
      </pivotArea>
    </format>
    <format dxfId="150">
      <pivotArea dataOnly="0" labelOnly="1" outline="0" fieldPosition="0">
        <references count="2">
          <reference field="0" count="1" selected="0">
            <x v="1048832"/>
          </reference>
          <reference field="1" count="1">
            <x v="1"/>
          </reference>
        </references>
      </pivotArea>
    </format>
    <format dxfId="149">
      <pivotArea dataOnly="0" labelOnly="1" outline="0" fieldPosition="0">
        <references count="2">
          <reference field="0" count="1" selected="0">
            <x v="1048832"/>
          </reference>
          <reference field="1" count="1">
            <x v="3"/>
          </reference>
        </references>
      </pivotArea>
    </format>
    <format dxfId="148">
      <pivotArea dataOnly="0" labelOnly="1" outline="0" fieldPosition="0">
        <references count="2">
          <reference field="0" count="1" selected="0">
            <x v="1048832"/>
          </reference>
          <reference field="1" count="1">
            <x v="4"/>
          </reference>
        </references>
      </pivotArea>
    </format>
    <format dxfId="147">
      <pivotArea dataOnly="0" labelOnly="1" outline="0" fieldPosition="0">
        <references count="2">
          <reference field="0" count="1" selected="0">
            <x v="1048832"/>
          </reference>
          <reference field="1" count="1">
            <x v="1"/>
          </reference>
        </references>
      </pivotArea>
    </format>
    <format dxfId="146">
      <pivotArea dataOnly="0" labelOnly="1" outline="0" fieldPosition="0">
        <references count="2">
          <reference field="0" count="1" selected="0">
            <x v="1048832"/>
          </reference>
          <reference field="1" count="1">
            <x v="3"/>
          </reference>
        </references>
      </pivotArea>
    </format>
    <format dxfId="145">
      <pivotArea dataOnly="0" labelOnly="1" outline="0" fieldPosition="0">
        <references count="2">
          <reference field="0" count="1" selected="0">
            <x v="1048832"/>
          </reference>
          <reference field="1" count="1">
            <x v="4"/>
          </reference>
        </references>
      </pivotArea>
    </format>
    <format dxfId="144">
      <pivotArea dataOnly="0" labelOnly="1" outline="0" fieldPosition="0">
        <references count="2">
          <reference field="0" count="1" selected="0">
            <x v="1048832"/>
          </reference>
          <reference field="1" count="1">
            <x v="0"/>
          </reference>
        </references>
      </pivotArea>
    </format>
    <format dxfId="143">
      <pivotArea dataOnly="0" labelOnly="1" outline="0" fieldPosition="0">
        <references count="2">
          <reference field="0" count="1" selected="0">
            <x v="1048832"/>
          </reference>
          <reference field="1" count="1">
            <x v="1"/>
          </reference>
        </references>
      </pivotArea>
    </format>
    <format dxfId="142">
      <pivotArea dataOnly="0" labelOnly="1" outline="0" fieldPosition="0">
        <references count="2">
          <reference field="0" count="1" selected="0">
            <x v="1048832"/>
          </reference>
          <reference field="1" count="1">
            <x v="2"/>
          </reference>
        </references>
      </pivotArea>
    </format>
    <format dxfId="141">
      <pivotArea dataOnly="0" labelOnly="1" outline="0" fieldPosition="0">
        <references count="2">
          <reference field="0" count="1" selected="0">
            <x v="1048832"/>
          </reference>
          <reference field="1" count="1">
            <x v="3"/>
          </reference>
        </references>
      </pivotArea>
    </format>
    <format dxfId="140">
      <pivotArea dataOnly="0" labelOnly="1" outline="0" fieldPosition="0">
        <references count="2">
          <reference field="0" count="1" selected="0">
            <x v="1048832"/>
          </reference>
          <reference field="1" count="1">
            <x v="4"/>
          </reference>
        </references>
      </pivotArea>
    </format>
    <format dxfId="139">
      <pivotArea dataOnly="0" labelOnly="1" outline="0" fieldPosition="0">
        <references count="2">
          <reference field="0" count="1" selected="0">
            <x v="1048832"/>
          </reference>
          <reference field="1" count="1">
            <x v="0"/>
          </reference>
        </references>
      </pivotArea>
    </format>
    <format dxfId="138">
      <pivotArea dataOnly="0" labelOnly="1" outline="0" fieldPosition="0">
        <references count="2">
          <reference field="0" count="1" selected="0">
            <x v="1048832"/>
          </reference>
          <reference field="1" count="1">
            <x v="1"/>
          </reference>
        </references>
      </pivotArea>
    </format>
    <format dxfId="137">
      <pivotArea dataOnly="0" labelOnly="1" outline="0" fieldPosition="0">
        <references count="2">
          <reference field="0" count="1" selected="0">
            <x v="1048832"/>
          </reference>
          <reference field="1" count="1">
            <x v="2"/>
          </reference>
        </references>
      </pivotArea>
    </format>
    <format dxfId="136">
      <pivotArea dataOnly="0" labelOnly="1" outline="0" fieldPosition="0">
        <references count="2">
          <reference field="0" count="1" selected="0">
            <x v="1048832"/>
          </reference>
          <reference field="1" count="1">
            <x v="3"/>
          </reference>
        </references>
      </pivotArea>
    </format>
    <format dxfId="135">
      <pivotArea dataOnly="0" labelOnly="1" outline="0" fieldPosition="0">
        <references count="2">
          <reference field="0" count="1" selected="0">
            <x v="1048832"/>
          </reference>
          <reference field="1" count="1">
            <x v="0"/>
          </reference>
        </references>
      </pivotArea>
    </format>
    <format dxfId="134">
      <pivotArea dataOnly="0" labelOnly="1" outline="0" fieldPosition="0">
        <references count="2">
          <reference field="0" count="1" selected="0">
            <x v="1048832"/>
          </reference>
          <reference field="1" count="1">
            <x v="1"/>
          </reference>
        </references>
      </pivotArea>
    </format>
    <format dxfId="133">
      <pivotArea dataOnly="0" labelOnly="1" outline="0" fieldPosition="0">
        <references count="2">
          <reference field="0" count="1" selected="0">
            <x v="1048832"/>
          </reference>
          <reference field="1" count="1">
            <x v="0"/>
          </reference>
        </references>
      </pivotArea>
    </format>
    <format dxfId="132">
      <pivotArea dataOnly="0" labelOnly="1" outline="0" fieldPosition="0">
        <references count="2">
          <reference field="0" count="1" selected="0">
            <x v="1048832"/>
          </reference>
          <reference field="1" count="1">
            <x v="1"/>
          </reference>
        </references>
      </pivotArea>
    </format>
    <format dxfId="131">
      <pivotArea dataOnly="0" labelOnly="1" outline="0" fieldPosition="0">
        <references count="2">
          <reference field="0" count="1" selected="0">
            <x v="1048832"/>
          </reference>
          <reference field="1" count="1">
            <x v="4"/>
          </reference>
        </references>
      </pivotArea>
    </format>
    <format dxfId="130">
      <pivotArea dataOnly="0" labelOnly="1" outline="0" fieldPosition="0">
        <references count="2">
          <reference field="0" count="1" selected="0">
            <x v="1048832"/>
          </reference>
          <reference field="1" count="1">
            <x v="0"/>
          </reference>
        </references>
      </pivotArea>
    </format>
    <format dxfId="129">
      <pivotArea dataOnly="0" labelOnly="1" outline="0" fieldPosition="0">
        <references count="2">
          <reference field="0" count="1" selected="0">
            <x v="1048832"/>
          </reference>
          <reference field="1" count="1">
            <x v="1"/>
          </reference>
        </references>
      </pivotArea>
    </format>
    <format dxfId="128">
      <pivotArea dataOnly="0" labelOnly="1" outline="0" fieldPosition="0">
        <references count="2">
          <reference field="0" count="1" selected="0">
            <x v="1048832"/>
          </reference>
          <reference field="1" count="1">
            <x v="2"/>
          </reference>
        </references>
      </pivotArea>
    </format>
    <format dxfId="127">
      <pivotArea dataOnly="0" labelOnly="1" outline="0" fieldPosition="0">
        <references count="2">
          <reference field="0" count="1" selected="0">
            <x v="1048832"/>
          </reference>
          <reference field="1" count="1">
            <x v="3"/>
          </reference>
        </references>
      </pivotArea>
    </format>
    <format dxfId="126">
      <pivotArea dataOnly="0" labelOnly="1" outline="0" fieldPosition="0">
        <references count="2">
          <reference field="0" count="1" selected="0">
            <x v="1048832"/>
          </reference>
          <reference field="1" count="1">
            <x v="4"/>
          </reference>
        </references>
      </pivotArea>
    </format>
    <format dxfId="125">
      <pivotArea dataOnly="0" labelOnly="1" outline="0" fieldPosition="0">
        <references count="2">
          <reference field="0" count="1" selected="0">
            <x v="1048832"/>
          </reference>
          <reference field="1" count="1">
            <x v="0"/>
          </reference>
        </references>
      </pivotArea>
    </format>
    <format dxfId="124">
      <pivotArea dataOnly="0" labelOnly="1" outline="0" fieldPosition="0">
        <references count="2">
          <reference field="0" count="1" selected="0">
            <x v="1048832"/>
          </reference>
          <reference field="1" count="1">
            <x v="1"/>
          </reference>
        </references>
      </pivotArea>
    </format>
    <format dxfId="123">
      <pivotArea dataOnly="0" labelOnly="1" outline="0" fieldPosition="0">
        <references count="2">
          <reference field="0" count="1" selected="0">
            <x v="1048832"/>
          </reference>
          <reference field="1" count="1">
            <x v="2"/>
          </reference>
        </references>
      </pivotArea>
    </format>
    <format dxfId="122">
      <pivotArea dataOnly="0" labelOnly="1" outline="0" fieldPosition="0">
        <references count="2">
          <reference field="0" count="1" selected="0">
            <x v="1048832"/>
          </reference>
          <reference field="1" count="1">
            <x v="3"/>
          </reference>
        </references>
      </pivotArea>
    </format>
    <format dxfId="121">
      <pivotArea dataOnly="0" labelOnly="1" outline="0" fieldPosition="0">
        <references count="2">
          <reference field="0" count="1" selected="0">
            <x v="1048832"/>
          </reference>
          <reference field="1" count="1">
            <x v="4"/>
          </reference>
        </references>
      </pivotArea>
    </format>
    <format dxfId="120">
      <pivotArea dataOnly="0" labelOnly="1" outline="0" fieldPosition="0">
        <references count="2">
          <reference field="0" count="1" selected="0">
            <x v="1048832"/>
          </reference>
          <reference field="1" count="1">
            <x v="0"/>
          </reference>
        </references>
      </pivotArea>
    </format>
    <format dxfId="119">
      <pivotArea dataOnly="0" labelOnly="1" outline="0" fieldPosition="0">
        <references count="2">
          <reference field="0" count="1" selected="0">
            <x v="1048832"/>
          </reference>
          <reference field="1" count="1">
            <x v="1"/>
          </reference>
        </references>
      </pivotArea>
    </format>
    <format dxfId="118">
      <pivotArea dataOnly="0" labelOnly="1" outline="0" fieldPosition="0">
        <references count="2">
          <reference field="0" count="1" selected="0">
            <x v="1048832"/>
          </reference>
          <reference field="1" count="1">
            <x v="1"/>
          </reference>
        </references>
      </pivotArea>
    </format>
    <format dxfId="117">
      <pivotArea dataOnly="0" labelOnly="1" outline="0" fieldPosition="0">
        <references count="2">
          <reference field="0" count="1" selected="0">
            <x v="1048832"/>
          </reference>
          <reference field="1" count="1">
            <x v="4"/>
          </reference>
        </references>
      </pivotArea>
    </format>
    <format dxfId="116">
      <pivotArea dataOnly="0" labelOnly="1" outline="0" fieldPosition="0">
        <references count="2">
          <reference field="0" count="1" selected="0">
            <x v="1048832"/>
          </reference>
          <reference field="1" count="1">
            <x v="1"/>
          </reference>
        </references>
      </pivotArea>
    </format>
    <format dxfId="115">
      <pivotArea dataOnly="0" labelOnly="1" outline="0" fieldPosition="0">
        <references count="2">
          <reference field="0" count="1" selected="0">
            <x v="1048832"/>
          </reference>
          <reference field="1" count="1">
            <x v="2"/>
          </reference>
        </references>
      </pivotArea>
    </format>
    <format dxfId="114">
      <pivotArea dataOnly="0" labelOnly="1" outline="0" fieldPosition="0">
        <references count="2">
          <reference field="0" count="1" selected="0">
            <x v="1048832"/>
          </reference>
          <reference field="1" count="1">
            <x v="3"/>
          </reference>
        </references>
      </pivotArea>
    </format>
    <format dxfId="113">
      <pivotArea dataOnly="0" labelOnly="1" outline="0" fieldPosition="0">
        <references count="2">
          <reference field="0" count="1" selected="0">
            <x v="1048832"/>
          </reference>
          <reference field="1" count="1">
            <x v="4"/>
          </reference>
        </references>
      </pivotArea>
    </format>
    <format dxfId="112">
      <pivotArea dataOnly="0" labelOnly="1" outline="0" fieldPosition="0">
        <references count="2">
          <reference field="0" count="1" selected="0">
            <x v="1048832"/>
          </reference>
          <reference field="1" count="1">
            <x v="0"/>
          </reference>
        </references>
      </pivotArea>
    </format>
    <format dxfId="111">
      <pivotArea dataOnly="0" labelOnly="1" outline="0" fieldPosition="0">
        <references count="2">
          <reference field="0" count="1" selected="0">
            <x v="1048832"/>
          </reference>
          <reference field="1" count="1">
            <x v="1"/>
          </reference>
        </references>
      </pivotArea>
    </format>
    <format dxfId="110">
      <pivotArea dataOnly="0" labelOnly="1" outline="0" fieldPosition="0">
        <references count="2">
          <reference field="0" count="1" selected="0">
            <x v="1048832"/>
          </reference>
          <reference field="1" count="1">
            <x v="2"/>
          </reference>
        </references>
      </pivotArea>
    </format>
    <format dxfId="109">
      <pivotArea dataOnly="0" labelOnly="1" outline="0" fieldPosition="0">
        <references count="2">
          <reference field="0" count="1" selected="0">
            <x v="1048832"/>
          </reference>
          <reference field="1" count="1">
            <x v="4"/>
          </reference>
        </references>
      </pivotArea>
    </format>
    <format dxfId="108">
      <pivotArea dataOnly="0" labelOnly="1" outline="0" fieldPosition="0">
        <references count="2">
          <reference field="0" count="1" selected="0">
            <x v="1048832"/>
          </reference>
          <reference field="1" count="1">
            <x v="0"/>
          </reference>
        </references>
      </pivotArea>
    </format>
    <format dxfId="107">
      <pivotArea dataOnly="0" labelOnly="1" outline="0" fieldPosition="0">
        <references count="2">
          <reference field="0" count="1" selected="0">
            <x v="1048832"/>
          </reference>
          <reference field="1" count="1">
            <x v="1"/>
          </reference>
        </references>
      </pivotArea>
    </format>
    <format dxfId="106">
      <pivotArea dataOnly="0" labelOnly="1" outline="0" fieldPosition="0">
        <references count="2">
          <reference field="0" count="1" selected="0">
            <x v="1048832"/>
          </reference>
          <reference field="1" count="1">
            <x v="4"/>
          </reference>
        </references>
      </pivotArea>
    </format>
    <format dxfId="105">
      <pivotArea dataOnly="0" labelOnly="1" outline="0" fieldPosition="0">
        <references count="2">
          <reference field="0" count="1" selected="0">
            <x v="1048832"/>
          </reference>
          <reference field="1" count="1">
            <x v="1"/>
          </reference>
        </references>
      </pivotArea>
    </format>
    <format dxfId="104">
      <pivotArea dataOnly="0" labelOnly="1" outline="0" fieldPosition="0">
        <references count="2">
          <reference field="0" count="1" selected="0">
            <x v="1048832"/>
          </reference>
          <reference field="1" count="1">
            <x v="4"/>
          </reference>
        </references>
      </pivotArea>
    </format>
    <format dxfId="103">
      <pivotArea dataOnly="0" labelOnly="1" outline="0" fieldPosition="0">
        <references count="2">
          <reference field="0" count="1" selected="0">
            <x v="1048832"/>
          </reference>
          <reference field="1" count="1">
            <x v="1"/>
          </reference>
        </references>
      </pivotArea>
    </format>
    <format dxfId="102">
      <pivotArea dataOnly="0" labelOnly="1" outline="0" fieldPosition="0">
        <references count="2">
          <reference field="0" count="1" selected="0">
            <x v="1048832"/>
          </reference>
          <reference field="1" count="1">
            <x v="4"/>
          </reference>
        </references>
      </pivotArea>
    </format>
    <format dxfId="101">
      <pivotArea dataOnly="0" labelOnly="1" outline="0" fieldPosition="0">
        <references count="2">
          <reference field="0" count="1" selected="0">
            <x v="1048832"/>
          </reference>
          <reference field="1" count="1">
            <x v="0"/>
          </reference>
        </references>
      </pivotArea>
    </format>
    <format dxfId="100">
      <pivotArea dataOnly="0" labelOnly="1" outline="0" fieldPosition="0">
        <references count="2">
          <reference field="0" count="1" selected="0">
            <x v="1048832"/>
          </reference>
          <reference field="1" count="1">
            <x v="1"/>
          </reference>
        </references>
      </pivotArea>
    </format>
    <format dxfId="99">
      <pivotArea dataOnly="0" labelOnly="1" outline="0" fieldPosition="0">
        <references count="2">
          <reference field="0" count="1" selected="0">
            <x v="1048832"/>
          </reference>
          <reference field="1" count="1">
            <x v="2"/>
          </reference>
        </references>
      </pivotArea>
    </format>
    <format dxfId="98">
      <pivotArea dataOnly="0" labelOnly="1" outline="0" fieldPosition="0">
        <references count="2">
          <reference field="0" count="1" selected="0">
            <x v="1048832"/>
          </reference>
          <reference field="1" count="1">
            <x v="3"/>
          </reference>
        </references>
      </pivotArea>
    </format>
    <format dxfId="97">
      <pivotArea dataOnly="0" labelOnly="1" outline="0" fieldPosition="0">
        <references count="2">
          <reference field="0" count="1" selected="0">
            <x v="1048832"/>
          </reference>
          <reference field="1" count="1">
            <x v="4"/>
          </reference>
        </references>
      </pivotArea>
    </format>
    <format dxfId="96">
      <pivotArea dataOnly="0" labelOnly="1" outline="0" fieldPosition="0">
        <references count="2">
          <reference field="0" count="1" selected="0">
            <x v="1048832"/>
          </reference>
          <reference field="1" count="1">
            <x v="0"/>
          </reference>
        </references>
      </pivotArea>
    </format>
    <format dxfId="95">
      <pivotArea dataOnly="0" labelOnly="1" outline="0" fieldPosition="0">
        <references count="2">
          <reference field="0" count="1" selected="0">
            <x v="1048832"/>
          </reference>
          <reference field="1" count="1">
            <x v="1"/>
          </reference>
        </references>
      </pivotArea>
    </format>
    <format dxfId="94">
      <pivotArea dataOnly="0" labelOnly="1" outline="0" fieldPosition="0">
        <references count="2">
          <reference field="0" count="1" selected="0">
            <x v="1048832"/>
          </reference>
          <reference field="1" count="1">
            <x v="2"/>
          </reference>
        </references>
      </pivotArea>
    </format>
    <format dxfId="93">
      <pivotArea dataOnly="0" labelOnly="1" outline="0" fieldPosition="0">
        <references count="2">
          <reference field="0" count="1" selected="0">
            <x v="1048832"/>
          </reference>
          <reference field="1" count="1">
            <x v="3"/>
          </reference>
        </references>
      </pivotArea>
    </format>
    <format dxfId="92">
      <pivotArea dataOnly="0" labelOnly="1" outline="0" fieldPosition="0">
        <references count="2">
          <reference field="0" count="1" selected="0">
            <x v="1048832"/>
          </reference>
          <reference field="1" count="1">
            <x v="4"/>
          </reference>
        </references>
      </pivotArea>
    </format>
    <format dxfId="91">
      <pivotArea dataOnly="0" labelOnly="1" outline="0" fieldPosition="0">
        <references count="2">
          <reference field="0" count="1" selected="0">
            <x v="1048832"/>
          </reference>
          <reference field="1" count="1">
            <x v="0"/>
          </reference>
        </references>
      </pivotArea>
    </format>
    <format dxfId="90">
      <pivotArea dataOnly="0" labelOnly="1" outline="0" fieldPosition="0">
        <references count="2">
          <reference field="0" count="1" selected="0">
            <x v="1048832"/>
          </reference>
          <reference field="1" count="1">
            <x v="1"/>
          </reference>
        </references>
      </pivotArea>
    </format>
    <format dxfId="89">
      <pivotArea dataOnly="0" labelOnly="1" outline="0" fieldPosition="0">
        <references count="2">
          <reference field="0" count="1" selected="0">
            <x v="1048832"/>
          </reference>
          <reference field="1" count="1">
            <x v="1"/>
          </reference>
        </references>
      </pivotArea>
    </format>
    <format dxfId="88">
      <pivotArea dataOnly="0" labelOnly="1" outline="0" fieldPosition="0">
        <references count="2">
          <reference field="0" count="1" selected="0">
            <x v="1048832"/>
          </reference>
          <reference field="1" count="1">
            <x v="4"/>
          </reference>
        </references>
      </pivotArea>
    </format>
    <format dxfId="87">
      <pivotArea dataOnly="0" labelOnly="1" outline="0" fieldPosition="0">
        <references count="2">
          <reference field="0" count="1" selected="0">
            <x v="1048832"/>
          </reference>
          <reference field="1" count="1">
            <x v="0"/>
          </reference>
        </references>
      </pivotArea>
    </format>
    <format dxfId="86">
      <pivotArea dataOnly="0" labelOnly="1" outline="0" fieldPosition="0">
        <references count="2">
          <reference field="0" count="1" selected="0">
            <x v="1048832"/>
          </reference>
          <reference field="1" count="1">
            <x v="1"/>
          </reference>
        </references>
      </pivotArea>
    </format>
    <format dxfId="85">
      <pivotArea dataOnly="0" labelOnly="1" outline="0" fieldPosition="0">
        <references count="2">
          <reference field="0" count="1" selected="0">
            <x v="1048832"/>
          </reference>
          <reference field="1" count="1">
            <x v="2"/>
          </reference>
        </references>
      </pivotArea>
    </format>
    <format dxfId="84">
      <pivotArea dataOnly="0" labelOnly="1" outline="0" fieldPosition="0">
        <references count="2">
          <reference field="0" count="1" selected="0">
            <x v="1048832"/>
          </reference>
          <reference field="1" count="1">
            <x v="3"/>
          </reference>
        </references>
      </pivotArea>
    </format>
    <format dxfId="83">
      <pivotArea dataOnly="0" labelOnly="1" outline="0" fieldPosition="0">
        <references count="2">
          <reference field="0" count="1" selected="0">
            <x v="1048832"/>
          </reference>
          <reference field="1" count="1">
            <x v="4"/>
          </reference>
        </references>
      </pivotArea>
    </format>
    <format dxfId="82">
      <pivotArea dataOnly="0" labelOnly="1" outline="0" fieldPosition="0">
        <references count="2">
          <reference field="0" count="1" selected="0">
            <x v="1048832"/>
          </reference>
          <reference field="1" count="1">
            <x v="0"/>
          </reference>
        </references>
      </pivotArea>
    </format>
    <format dxfId="81">
      <pivotArea dataOnly="0" labelOnly="1" outline="0" fieldPosition="0">
        <references count="2">
          <reference field="0" count="1" selected="0">
            <x v="1048832"/>
          </reference>
          <reference field="1" count="1">
            <x v="2"/>
          </reference>
        </references>
      </pivotArea>
    </format>
    <format dxfId="80">
      <pivotArea dataOnly="0" labelOnly="1" outline="0" fieldPosition="0">
        <references count="2">
          <reference field="0" count="1" selected="0">
            <x v="1048832"/>
          </reference>
          <reference field="1" count="1">
            <x v="3"/>
          </reference>
        </references>
      </pivotArea>
    </format>
    <format dxfId="79">
      <pivotArea dataOnly="0" labelOnly="1" outline="0" fieldPosition="0">
        <references count="2">
          <reference field="0" count="1" selected="0">
            <x v="1048832"/>
          </reference>
          <reference field="1" count="1">
            <x v="0"/>
          </reference>
        </references>
      </pivotArea>
    </format>
    <format dxfId="78">
      <pivotArea dataOnly="0" labelOnly="1" outline="0" fieldPosition="0">
        <references count="2">
          <reference field="0" count="1" selected="0">
            <x v="1048832"/>
          </reference>
          <reference field="1" count="1">
            <x v="2"/>
          </reference>
        </references>
      </pivotArea>
    </format>
    <format dxfId="77">
      <pivotArea dataOnly="0" labelOnly="1" outline="0" fieldPosition="0">
        <references count="2">
          <reference field="0" count="1" selected="0">
            <x v="1048832"/>
          </reference>
          <reference field="1" count="1">
            <x v="1"/>
          </reference>
        </references>
      </pivotArea>
    </format>
    <format dxfId="76">
      <pivotArea dataOnly="0" labelOnly="1" outline="0" fieldPosition="0">
        <references count="2">
          <reference field="0" count="1" selected="0">
            <x v="1048832"/>
          </reference>
          <reference field="1" count="1">
            <x v="4"/>
          </reference>
        </references>
      </pivotArea>
    </format>
    <format dxfId="75">
      <pivotArea dataOnly="0" labelOnly="1" outline="0" fieldPosition="0">
        <references count="2">
          <reference field="0" count="1" selected="0">
            <x v="1048832"/>
          </reference>
          <reference field="1" count="1">
            <x v="1"/>
          </reference>
        </references>
      </pivotArea>
    </format>
    <format dxfId="74">
      <pivotArea dataOnly="0" labelOnly="1" outline="0" fieldPosition="0">
        <references count="2">
          <reference field="0" count="1" selected="0">
            <x v="1048832"/>
          </reference>
          <reference field="1" count="1">
            <x v="2"/>
          </reference>
        </references>
      </pivotArea>
    </format>
    <format dxfId="73">
      <pivotArea dataOnly="0" labelOnly="1" outline="0" fieldPosition="0">
        <references count="2">
          <reference field="0" count="1" selected="0">
            <x v="1048832"/>
          </reference>
          <reference field="1" count="1">
            <x v="3"/>
          </reference>
        </references>
      </pivotArea>
    </format>
    <format dxfId="72">
      <pivotArea dataOnly="0" labelOnly="1" outline="0" fieldPosition="0">
        <references count="2">
          <reference field="0" count="1" selected="0">
            <x v="1048832"/>
          </reference>
          <reference field="1" count="1">
            <x v="4"/>
          </reference>
        </references>
      </pivotArea>
    </format>
    <format dxfId="71">
      <pivotArea dataOnly="0" labelOnly="1" outline="0" fieldPosition="0">
        <references count="2">
          <reference field="0" count="1" selected="0">
            <x v="1048832"/>
          </reference>
          <reference field="1" count="1">
            <x v="0"/>
          </reference>
        </references>
      </pivotArea>
    </format>
    <format dxfId="70">
      <pivotArea dataOnly="0" labelOnly="1" outline="0" fieldPosition="0">
        <references count="2">
          <reference field="0" count="1" selected="0">
            <x v="1048832"/>
          </reference>
          <reference field="1" count="1">
            <x v="1"/>
          </reference>
        </references>
      </pivotArea>
    </format>
    <format dxfId="69">
      <pivotArea dataOnly="0" labelOnly="1" outline="0" fieldPosition="0">
        <references count="2">
          <reference field="0" count="1" selected="0">
            <x v="1048832"/>
          </reference>
          <reference field="1" count="1">
            <x v="2"/>
          </reference>
        </references>
      </pivotArea>
    </format>
    <format dxfId="68">
      <pivotArea dataOnly="0" labelOnly="1" outline="0" fieldPosition="0">
        <references count="2">
          <reference field="0" count="1" selected="0">
            <x v="1048832"/>
          </reference>
          <reference field="1" count="1">
            <x v="3"/>
          </reference>
        </references>
      </pivotArea>
    </format>
    <format dxfId="67">
      <pivotArea dataOnly="0" labelOnly="1" outline="0" fieldPosition="0">
        <references count="2">
          <reference field="0" count="1" selected="0">
            <x v="1048832"/>
          </reference>
          <reference field="1" count="1">
            <x v="0"/>
          </reference>
        </references>
      </pivotArea>
    </format>
    <format dxfId="66">
      <pivotArea dataOnly="0" labelOnly="1" outline="0" fieldPosition="0">
        <references count="2">
          <reference field="0" count="1" selected="0">
            <x v="1048832"/>
          </reference>
          <reference field="1" count="1">
            <x v="1"/>
          </reference>
        </references>
      </pivotArea>
    </format>
    <format dxfId="65">
      <pivotArea dataOnly="0" labelOnly="1" outline="0" fieldPosition="0">
        <references count="2">
          <reference field="0" count="1" selected="0">
            <x v="1048832"/>
          </reference>
          <reference field="1" count="1">
            <x v="2"/>
          </reference>
        </references>
      </pivotArea>
    </format>
    <format dxfId="64">
      <pivotArea dataOnly="0" labelOnly="1" outline="0" fieldPosition="0">
        <references count="2">
          <reference field="0" count="1" selected="0">
            <x v="1048832"/>
          </reference>
          <reference field="1" count="1">
            <x v="0"/>
          </reference>
        </references>
      </pivotArea>
    </format>
    <format dxfId="63">
      <pivotArea dataOnly="0" labelOnly="1" outline="0" fieldPosition="0">
        <references count="2">
          <reference field="0" count="1" selected="0">
            <x v="1048832"/>
          </reference>
          <reference field="1" count="1">
            <x v="1"/>
          </reference>
        </references>
      </pivotArea>
    </format>
    <format dxfId="62">
      <pivotArea dataOnly="0" labelOnly="1" outline="0" fieldPosition="0">
        <references count="2">
          <reference field="0" count="1" selected="0">
            <x v="1048832"/>
          </reference>
          <reference field="1" count="1">
            <x v="4"/>
          </reference>
        </references>
      </pivotArea>
    </format>
    <format dxfId="61">
      <pivotArea dataOnly="0" labelOnly="1" outline="0" fieldPosition="0">
        <references count="2">
          <reference field="0" count="1" selected="0">
            <x v="1048832"/>
          </reference>
          <reference field="1" count="1">
            <x v="1"/>
          </reference>
        </references>
      </pivotArea>
    </format>
    <format dxfId="60">
      <pivotArea dataOnly="0" labelOnly="1" outline="0" fieldPosition="0">
        <references count="2">
          <reference field="0" count="1" selected="0">
            <x v="1048832"/>
          </reference>
          <reference field="1" count="1">
            <x v="4"/>
          </reference>
        </references>
      </pivotArea>
    </format>
    <format dxfId="59">
      <pivotArea dataOnly="0" labelOnly="1" outline="0" fieldPosition="0">
        <references count="2">
          <reference field="0" count="1" selected="0">
            <x v="1048832"/>
          </reference>
          <reference field="1" count="1">
            <x v="0"/>
          </reference>
        </references>
      </pivotArea>
    </format>
    <format dxfId="58">
      <pivotArea dataOnly="0" labelOnly="1" outline="0" fieldPosition="0">
        <references count="2">
          <reference field="0" count="1" selected="0">
            <x v="1048832"/>
          </reference>
          <reference field="1" count="1">
            <x v="1"/>
          </reference>
        </references>
      </pivotArea>
    </format>
    <format dxfId="57">
      <pivotArea dataOnly="0" labelOnly="1" outline="0" fieldPosition="0">
        <references count="2">
          <reference field="0" count="1" selected="0">
            <x v="1048832"/>
          </reference>
          <reference field="1" count="1">
            <x v="2"/>
          </reference>
        </references>
      </pivotArea>
    </format>
    <format dxfId="56">
      <pivotArea dataOnly="0" labelOnly="1" outline="0" fieldPosition="0">
        <references count="2">
          <reference field="0" count="1" selected="0">
            <x v="1048832"/>
          </reference>
          <reference field="1" count="1">
            <x v="3"/>
          </reference>
        </references>
      </pivotArea>
    </format>
    <format dxfId="55">
      <pivotArea dataOnly="0" labelOnly="1" outline="0" fieldPosition="0">
        <references count="2">
          <reference field="0" count="1" selected="0">
            <x v="1048832"/>
          </reference>
          <reference field="1" count="1">
            <x v="4"/>
          </reference>
        </references>
      </pivotArea>
    </format>
    <format dxfId="54">
      <pivotArea dataOnly="0" labelOnly="1" outline="0" fieldPosition="0">
        <references count="2">
          <reference field="0" count="1" selected="0">
            <x v="1048832"/>
          </reference>
          <reference field="1" count="1">
            <x v="0"/>
          </reference>
        </references>
      </pivotArea>
    </format>
    <format dxfId="53">
      <pivotArea dataOnly="0" labelOnly="1" outline="0" fieldPosition="0">
        <references count="2">
          <reference field="0" count="1" selected="0">
            <x v="1048832"/>
          </reference>
          <reference field="1" count="1">
            <x v="1"/>
          </reference>
        </references>
      </pivotArea>
    </format>
    <format dxfId="52">
      <pivotArea dataOnly="0" labelOnly="1" outline="0" fieldPosition="0">
        <references count="2">
          <reference field="0" count="1" selected="0">
            <x v="1048832"/>
          </reference>
          <reference field="1" count="1">
            <x v="2"/>
          </reference>
        </references>
      </pivotArea>
    </format>
    <format dxfId="51">
      <pivotArea dataOnly="0" labelOnly="1" outline="0" fieldPosition="0">
        <references count="2">
          <reference field="0" count="1" selected="0">
            <x v="1048832"/>
          </reference>
          <reference field="1" count="1">
            <x v="3"/>
          </reference>
        </references>
      </pivotArea>
    </format>
    <format dxfId="50">
      <pivotArea dataOnly="0" labelOnly="1" outline="0" fieldPosition="0">
        <references count="2">
          <reference field="0" count="1" selected="0">
            <x v="1048832"/>
          </reference>
          <reference field="1" count="1">
            <x v="4"/>
          </reference>
        </references>
      </pivotArea>
    </format>
    <format dxfId="49">
      <pivotArea dataOnly="0" labelOnly="1" outline="0" fieldPosition="0">
        <references count="2">
          <reference field="0" count="1" selected="0">
            <x v="1048832"/>
          </reference>
          <reference field="1" count="1">
            <x v="1"/>
          </reference>
        </references>
      </pivotArea>
    </format>
    <format dxfId="48">
      <pivotArea field="0" type="button" dataOnly="0" labelOnly="1" outline="0" axis="axisRow" fieldPosition="1"/>
    </format>
    <format dxfId="47">
      <pivotArea dataOnly="0" labelOnly="1" outline="0" fieldPosition="0">
        <references count="2">
          <reference field="0" count="50">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reference>
          <reference field="9" count="1" selected="0">
            <x v="1"/>
          </reference>
        </references>
      </pivotArea>
    </format>
    <format dxfId="46">
      <pivotArea dataOnly="0" labelOnly="1" outline="0" fieldPosition="0">
        <references count="2">
          <reference field="0" count="50">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reference>
          <reference field="9" count="1" selected="0">
            <x v="1"/>
          </reference>
        </references>
      </pivotArea>
    </format>
    <format dxfId="45">
      <pivotArea dataOnly="0" labelOnly="1" outline="0" fieldPosition="0">
        <references count="2">
          <reference field="0" count="50">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x v="1048832"/>
          </reference>
          <reference field="9" count="1" selected="0">
            <x v="1"/>
          </reference>
        </references>
      </pivotArea>
    </format>
    <format dxfId="44">
      <pivotArea dataOnly="0" labelOnly="1" outline="0" fieldPosition="0">
        <references count="2">
          <reference field="0" count="22">
            <x v="1048832"/>
            <x v="1048832"/>
            <x v="1048832"/>
            <x v="1048832"/>
            <x v="1048832"/>
            <x v="1048832"/>
            <x v="1048832"/>
            <x v="1048832"/>
            <x v="1048832"/>
            <x v="1048832"/>
            <x v="1048832"/>
            <x v="1048832"/>
            <x v="1048832"/>
            <x v="1048832"/>
            <x v="1048832"/>
            <x v="1048832"/>
            <x v="1048832"/>
            <x v="1048832"/>
            <x v="1048832"/>
            <x v="1048832"/>
            <x v="1048832"/>
            <x v="1048832"/>
          </reference>
          <reference field="9" count="1" selected="0">
            <x v="1"/>
          </reference>
        </references>
      </pivotArea>
    </format>
    <format dxfId="43">
      <pivotArea field="0" type="button" dataOnly="0" labelOnly="1" outline="0" axis="axisRow" fieldPosition="1"/>
    </format>
    <format dxfId="42">
      <pivotArea field="1" type="button" dataOnly="0" labelOnly="1" outline="0" axis="axisRow" fieldPosition="2"/>
    </format>
    <format dxfId="41">
      <pivotArea field="2" type="button" dataOnly="0" labelOnly="1" outline="0" axis="axisRow" fieldPosition="3"/>
    </format>
    <format dxfId="40">
      <pivotArea field="3" type="button" dataOnly="0" labelOnly="1" outline="0" axis="axisRow" fieldPosition="4"/>
    </format>
    <format dxfId="39">
      <pivotArea field="4" type="button" dataOnly="0" labelOnly="1" outline="0" axis="axisRow" fieldPosition="5"/>
    </format>
    <format dxfId="38">
      <pivotArea field="5" type="button" dataOnly="0" labelOnly="1" outline="0" axis="axisRow" fieldPosition="6"/>
    </format>
    <format dxfId="37">
      <pivotArea field="6" type="button" dataOnly="0" labelOnly="1" outline="0" axis="axisRow" fieldPosition="7"/>
    </format>
    <format dxfId="36">
      <pivotArea field="7" type="button" dataOnly="0" labelOnly="1" outline="0" axis="axisRow" fieldPosition="8"/>
    </format>
    <format dxfId="35">
      <pivotArea field="8" type="button" dataOnly="0" labelOnly="1" outline="0" axis="axisRow" fieldPosition="9"/>
    </format>
    <format dxfId="34">
      <pivotArea field="0" type="button" dataOnly="0" labelOnly="1" outline="0" axis="axisRow" fieldPosition="1"/>
    </format>
    <format dxfId="33">
      <pivotArea field="1" type="button" dataOnly="0" labelOnly="1" outline="0" axis="axisRow" fieldPosition="2"/>
    </format>
    <format dxfId="32">
      <pivotArea field="2" type="button" dataOnly="0" labelOnly="1" outline="0" axis="axisRow" fieldPosition="3"/>
    </format>
    <format dxfId="31">
      <pivotArea field="3" type="button" dataOnly="0" labelOnly="1" outline="0" axis="axisRow" fieldPosition="4"/>
    </format>
    <format dxfId="30">
      <pivotArea field="4" type="button" dataOnly="0" labelOnly="1" outline="0" axis="axisRow" fieldPosition="5"/>
    </format>
    <format dxfId="29">
      <pivotArea field="5" type="button" dataOnly="0" labelOnly="1" outline="0" axis="axisRow" fieldPosition="6"/>
    </format>
    <format dxfId="28">
      <pivotArea field="6" type="button" dataOnly="0" labelOnly="1" outline="0" axis="axisRow" fieldPosition="7"/>
    </format>
    <format dxfId="27">
      <pivotArea field="7" type="button" dataOnly="0" labelOnly="1" outline="0" axis="axisRow" fieldPosition="8"/>
    </format>
    <format dxfId="26">
      <pivotArea field="8" type="button" dataOnly="0" labelOnly="1" outline="0" axis="axisRow" fieldPosition="9"/>
    </format>
    <format dxfId="25">
      <pivotArea field="0" type="button" dataOnly="0" labelOnly="1" outline="0" axis="axisRow" fieldPosition="1"/>
    </format>
    <format dxfId="24">
      <pivotArea field="1" type="button" dataOnly="0" labelOnly="1" outline="0" axis="axisRow" fieldPosition="2"/>
    </format>
    <format dxfId="23">
      <pivotArea field="2" type="button" dataOnly="0" labelOnly="1" outline="0" axis="axisRow" fieldPosition="3"/>
    </format>
    <format dxfId="22">
      <pivotArea field="3" type="button" dataOnly="0" labelOnly="1" outline="0" axis="axisRow" fieldPosition="4"/>
    </format>
    <format dxfId="21">
      <pivotArea field="4" type="button" dataOnly="0" labelOnly="1" outline="0" axis="axisRow" fieldPosition="5"/>
    </format>
    <format dxfId="20">
      <pivotArea field="5" type="button" dataOnly="0" labelOnly="1" outline="0" axis="axisRow" fieldPosition="6"/>
    </format>
    <format dxfId="19">
      <pivotArea field="6" type="button" dataOnly="0" labelOnly="1" outline="0" axis="axisRow" fieldPosition="7"/>
    </format>
    <format dxfId="18">
      <pivotArea field="7" type="button" dataOnly="0" labelOnly="1" outline="0" axis="axisRow" fieldPosition="8"/>
    </format>
    <format dxfId="17">
      <pivotArea field="8" type="button" dataOnly="0" labelOnly="1" outline="0" axis="axisRow" fieldPosition="9"/>
    </format>
  </formats>
  <pivotHierarchies count="23">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APO Production Schedule" showRowHeaders="1" showColHeaders="1" showRowStripes="0" showColStripes="0" showLastColumn="1"/>
  <rowHierarchiesUsage count="10">
    <rowHierarchyUsage hierarchyUsage="0"/>
    <rowHierarchyUsage hierarchyUsage="1"/>
    <rowHierarchyUsage hierarchyUsage="2"/>
    <rowHierarchyUsage hierarchyUsage="4"/>
    <rowHierarchyUsage hierarchyUsage="5"/>
    <rowHierarchyUsage hierarchyUsage="6"/>
    <rowHierarchyUsage hierarchyUsage="7"/>
    <rowHierarchyUsage hierarchyUsage="8"/>
    <rowHierarchyUsage hierarchyUsage="9"/>
    <rowHierarchyUsage hierarchyUsage="10"/>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Final]"/>
      </x15:pivotTableUISettings>
    </ext>
    <ext xmlns:xpdl="http://schemas.microsoft.com/office/spreadsheetml/2016/pivotdefaultlayout" uri="{747A6164-185A-40DC-8AA5-F01512510D54}">
      <xpdl:pivotTableDefinition16 EnabledSubtotals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1" xr10:uid="{00000000-0013-0000-FFFF-FFFF02000000}" sourceName="[Final].[Project]">
  <pivotTables>
    <pivotTable tabId="21" name="PivotTable1"/>
  </pivotTables>
  <data>
    <olap pivotCacheId="773533340">
      <levels count="2">
        <level uniqueName="[Final].[Project].[(All)]" sourceCaption="(All)" count="0"/>
        <level uniqueName="[Final].[Project].[Project]" sourceCaption="Project" count="8">
          <ranges>
            <range startItem="0">
              <i n="[Final].[Project].&amp;[Project 1]" c="Project 1"/>
              <i n="[Final].[Project].&amp;[Project 2]" c="Project 2"/>
              <i n="[Final].[Project].&amp;[Project 3]" c="Project 3"/>
              <i n="[Final].[Project].&amp;[Project 4]" c="Project 4"/>
              <i n="[Final].[Project].&amp;[Project 5]" c="Project 5"/>
              <i n="[Final].[Project].&amp;[Project 6]" c="Project 6"/>
              <i n="[Final].[Project].&amp;[Project 7]" c="Project 7"/>
              <i n="[Final].[Project].&amp;[Project 8]" c="Project 8"/>
            </range>
          </ranges>
        </level>
      </levels>
      <selections count="1">
        <selection n="[Final].[Projec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wner1" xr10:uid="{00000000-0013-0000-FFFF-FFFF03000000}" sourceName="[Final].[Owner]">
  <pivotTables>
    <pivotTable tabId="21" name="PivotTable1"/>
  </pivotTables>
  <data>
    <olap pivotCacheId="773533340">
      <levels count="2">
        <level uniqueName="[Final].[Owner].[(All)]" sourceCaption="(All)" count="0"/>
        <level uniqueName="[Final].[Owner].[Owner]" sourceCaption="Owner" count="7">
          <ranges>
            <range startItem="0">
              <i n="[Final].[Owner].&amp;[Owner C]" c="Owner C"/>
              <i n="[Final].[Owner].&amp;[Owner E]" c="Owner E"/>
              <i n="[Final].[Owner].&amp;[Owner J]" c="Owner J"/>
              <i n="[Final].[Owner].&amp;[Owner O]" c="Owner O"/>
              <i n="[Final].[Owner].&amp;[Owner P]" c="Owner P"/>
              <i n="[Final].[Owner].&amp;[Owner Q]" c="Owner Q"/>
              <i n="[Final].[Owner].&amp;[Owner S]" c="Owner S"/>
            </range>
          </ranges>
        </level>
      </levels>
      <selections count="1">
        <selection n="[Final].[Own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ue_date_Slicer" xr10:uid="{00000000-0013-0000-FFFF-FFFF04000000}" sourceName="[Final].[Due date Slicer]">
  <pivotTables>
    <pivotTable tabId="21" name="PivotTable1"/>
  </pivotTables>
  <data>
    <olap pivotCacheId="773533340">
      <levels count="2">
        <level uniqueName="[Final].[Due date Slicer].[(All)]" sourceCaption="(All)" count="0"/>
        <level uniqueName="[Final].[Due date Slicer].[Due date Slicer]" sourceCaption="Due date Slicer" count="12">
          <ranges>
            <range startItem="0">
              <i n="[Final].[Due date Slicer].&amp;[2019-01-01T00:00:00]" c="1/1/2019"/>
              <i n="[Final].[Due date Slicer].&amp;[2019-02-01T00:00:00]" c="2/1/2019"/>
              <i n="[Final].[Due date Slicer].&amp;[2019-03-01T00:00:00]" c="3/1/2019"/>
              <i n="[Final].[Due date Slicer].&amp;[2019-04-01T00:00:00]" c="4/1/2019"/>
              <i n="[Final].[Due date Slicer].&amp;[2019-05-01T00:00:00]" c="5/1/2019"/>
              <i n="[Final].[Due date Slicer].&amp;[2019-06-01T00:00:00]" c="6/1/2019"/>
              <i n="[Final].[Due date Slicer].&amp;[2019-07-01T00:00:00]" c="7/1/2019"/>
              <i n="[Final].[Due date Slicer].&amp;[2019-08-01T00:00:00]" c="8/1/2019"/>
              <i n="[Final].[Due date Slicer].&amp;[2019-09-01T00:00:00]" c="9/1/2019"/>
              <i n="[Final].[Due date Slicer].&amp;[2019-10-01T00:00:00]" c="10/1/2019"/>
              <i n="[Final].[Due date Slicer].&amp;[2019-11-01T00:00:00]" c="11/1/2019"/>
              <i n="[Final].[Due date Slicer].&amp;[2019-12-01T00:00:00]" c="12/1/2019"/>
            </range>
          </ranges>
        </level>
      </levels>
      <selections count="1">
        <selection n="[Final].[Due date Slic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1" xr10:uid="{00000000-0014-0000-FFFF-FFFF02000000}" cache="Slicer_Project1" caption="Project" level="1" style="SlicerStyleLight6" rowHeight="241300"/>
  <slicer name="Owner 1" xr10:uid="{00000000-0014-0000-FFFF-FFFF03000000}" cache="Slicer_Owner1" caption="Owner" level="1" style="SlicerStyleLight6" rowHeight="241300"/>
  <slicer name="Due date Slicer" xr10:uid="{00000000-0014-0000-FFFF-FFFF04000000}" cache="Slicer_Due_date_Slicer" caption="Due date Slicer" columnCount="7" level="1"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3:M231" totalsRowShown="0" headerRowDxfId="16" dataDxfId="15">
  <autoFilter ref="A3:M231" xr:uid="{00000000-0009-0000-0100-000002000000}"/>
  <tableColumns count="13">
    <tableColumn id="1" xr3:uid="{00000000-0010-0000-0000-000001000000}" name="D.I.P.Y?" dataDxfId="14">
      <calculatedColumnFormula>TODAY()&gt;=DATE(YEAR(B4),MONTH(B4),DAY(B4))</calculatedColumnFormula>
    </tableColumn>
    <tableColumn id="2" xr3:uid="{00000000-0010-0000-0000-000002000000}" name="Due Date" dataDxfId="13"/>
    <tableColumn id="3" xr3:uid="{00000000-0010-0000-0000-000003000000}" name="Day" dataDxfId="12">
      <calculatedColumnFormula>TEXT($B4,"DDD")</calculatedColumnFormula>
    </tableColumn>
    <tableColumn id="4" xr3:uid="{00000000-0010-0000-0000-000004000000}" name="Due date Slicer" dataDxfId="11">
      <calculatedColumnFormula>TEXT(B4,"MMM YYYY")</calculatedColumnFormula>
    </tableColumn>
    <tableColumn id="6" xr3:uid="{00000000-0010-0000-0000-000006000000}" name="Project" dataDxfId="10"/>
    <tableColumn id="7" xr3:uid="{00000000-0010-0000-0000-000007000000}" name="Frequency" dataDxfId="9"/>
    <tableColumn id="9" xr3:uid="{00000000-0010-0000-0000-000009000000}" name="Owner" dataDxfId="8"/>
    <tableColumn id="10" xr3:uid="{00000000-0010-0000-0000-00000A000000}" name="Data Month" dataDxfId="7">
      <calculatedColumnFormula>TEXT(EDATE($B4,-1),"MMM")</calculatedColumnFormula>
    </tableColumn>
    <tableColumn id="11" xr3:uid="{00000000-0010-0000-0000-00000B000000}" name="Data Month #" dataDxfId="6">
      <calculatedColumnFormula>TEXT(EOMONTH($B4,-1),"MM")</calculatedColumnFormula>
    </tableColumn>
    <tableColumn id="12" xr3:uid="{00000000-0010-0000-0000-00000C000000}" name="Data Year" dataDxfId="5">
      <calculatedColumnFormula>YEAR(B4)</calculatedColumnFormula>
    </tableColumn>
    <tableColumn id="13" xr3:uid="{00000000-0010-0000-0000-00000D000000}" name="Due date Note" dataDxfId="4"/>
    <tableColumn id="14" xr3:uid="{00000000-0010-0000-0000-00000E000000}" name="Reconciled to Calandar?" dataDxfId="3"/>
    <tableColumn id="15" xr3:uid="{00000000-0010-0000-0000-00000F000000}" name="Notes:"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70C0"/>
  </sheetPr>
  <dimension ref="B1:M239"/>
  <sheetViews>
    <sheetView showGridLines="0" tabSelected="1" zoomScale="78" zoomScaleNormal="78" workbookViewId="0"/>
  </sheetViews>
  <sheetFormatPr defaultRowHeight="14.6" outlineLevelCol="1" x14ac:dyDescent="0.4"/>
  <cols>
    <col min="1" max="1" width="1.3828125" customWidth="1"/>
    <col min="2" max="2" width="27.69140625" customWidth="1"/>
    <col min="3" max="3" width="1.69140625" customWidth="1"/>
    <col min="4" max="4" width="15.15234375" hidden="1" customWidth="1" outlineLevel="1"/>
    <col min="5" max="5" width="13.15234375" style="24" bestFit="1" customWidth="1" collapsed="1"/>
    <col min="6" max="6" width="7.69140625" bestFit="1" customWidth="1"/>
    <col min="7" max="7" width="48.3828125" customWidth="1"/>
    <col min="8" max="8" width="16.15234375" customWidth="1"/>
    <col min="9" max="9" width="9.15234375" bestFit="1" customWidth="1"/>
    <col min="10" max="10" width="19.84375" customWidth="1"/>
    <col min="11" max="11" width="17.84375" customWidth="1"/>
    <col min="12" max="12" width="19.84375" customWidth="1"/>
    <col min="13" max="14" width="33" bestFit="1" customWidth="1"/>
    <col min="15" max="16" width="62.3828125" customWidth="1"/>
    <col min="17" max="26" width="10.69140625" customWidth="1"/>
    <col min="27" max="34" width="8.69140625" customWidth="1"/>
    <col min="35" max="50" width="9.69140625" customWidth="1"/>
    <col min="51" max="56" width="8.69140625" customWidth="1"/>
    <col min="57" max="69" width="9.69140625" customWidth="1"/>
    <col min="70" max="75" width="8.69140625" customWidth="1"/>
    <col min="76" max="90" width="9.69140625" customWidth="1"/>
    <col min="91" max="96" width="8.69140625" customWidth="1"/>
    <col min="97" max="112" width="9.69140625" customWidth="1"/>
    <col min="113" max="119" width="8.69140625" customWidth="1"/>
    <col min="120" max="135" width="9.69140625" customWidth="1"/>
    <col min="136" max="142" width="8.69140625" customWidth="1"/>
    <col min="143" max="157" width="9.69140625" customWidth="1"/>
    <col min="158" max="163" width="8.69140625" customWidth="1"/>
    <col min="164" max="179" width="9.69140625" customWidth="1"/>
    <col min="180" max="186" width="8.69140625" customWidth="1"/>
    <col min="187" max="202" width="9.69140625" customWidth="1"/>
    <col min="203" max="208" width="8.69140625" customWidth="1"/>
    <col min="209" max="232" width="9.69140625" customWidth="1"/>
    <col min="233" max="247" width="10.69140625" customWidth="1"/>
    <col min="248" max="254" width="9.69140625" customWidth="1"/>
    <col min="255" max="269" width="10.69140625" customWidth="1"/>
    <col min="270" max="275" width="9.69140625" customWidth="1"/>
    <col min="276" max="291" width="10.69140625" customWidth="1"/>
    <col min="292" max="299" width="8.69140625" customWidth="1"/>
    <col min="300" max="315" width="9.69140625" customWidth="1"/>
    <col min="316" max="316" width="13.69140625" customWidth="1"/>
    <col min="317" max="317" width="10.53515625" customWidth="1"/>
    <col min="318" max="318" width="13.69140625" customWidth="1"/>
    <col min="319" max="319" width="10.53515625" customWidth="1"/>
    <col min="320" max="320" width="13.69140625" customWidth="1"/>
    <col min="321" max="321" width="10.53515625" customWidth="1"/>
    <col min="322" max="322" width="13.69140625" customWidth="1"/>
    <col min="323" max="323" width="11.53515625" customWidth="1"/>
    <col min="324" max="324" width="14.69140625" customWidth="1"/>
    <col min="325" max="325" width="11.53515625" customWidth="1"/>
    <col min="326" max="326" width="14.69140625" customWidth="1"/>
    <col min="327" max="327" width="11.53515625" customWidth="1"/>
    <col min="328" max="328" width="14.69140625" customWidth="1"/>
    <col min="329" max="329" width="11.53515625" customWidth="1"/>
    <col min="330" max="330" width="14.69140625" customWidth="1"/>
    <col min="331" max="331" width="11.53515625" customWidth="1"/>
    <col min="332" max="332" width="14.69140625" customWidth="1"/>
    <col min="333" max="333" width="11.53515625" customWidth="1"/>
    <col min="334" max="334" width="14.69140625" customWidth="1"/>
    <col min="335" max="335" width="11.53515625" customWidth="1"/>
    <col min="336" max="336" width="14.69140625" customWidth="1"/>
    <col min="337" max="337" width="11.53515625" customWidth="1"/>
    <col min="338" max="338" width="14.69140625" customWidth="1"/>
    <col min="339" max="339" width="11.53515625" customWidth="1"/>
    <col min="340" max="340" width="14.69140625" customWidth="1"/>
    <col min="341" max="341" width="11.53515625" customWidth="1"/>
    <col min="342" max="342" width="14.69140625" customWidth="1"/>
    <col min="343" max="343" width="11.53515625" customWidth="1"/>
    <col min="344" max="344" width="14.69140625" customWidth="1"/>
    <col min="345" max="345" width="11.53515625" customWidth="1"/>
    <col min="346" max="346" width="14.69140625" customWidth="1"/>
    <col min="347" max="347" width="11.53515625" customWidth="1"/>
    <col min="348" max="348" width="14.69140625" customWidth="1"/>
    <col min="349" max="349" width="11.53515625" customWidth="1"/>
    <col min="350" max="350" width="14.69140625" customWidth="1"/>
    <col min="351" max="351" width="11.53515625" customWidth="1"/>
    <col min="352" max="352" width="14.69140625" customWidth="1"/>
    <col min="353" max="353" width="11.53515625" customWidth="1"/>
    <col min="354" max="354" width="14.69140625" customWidth="1"/>
    <col min="355" max="355" width="10.53515625" customWidth="1"/>
    <col min="356" max="356" width="13.69140625" customWidth="1"/>
    <col min="357" max="357" width="10.53515625" customWidth="1"/>
    <col min="358" max="358" width="13.69140625" customWidth="1"/>
    <col min="359" max="359" width="10.53515625" customWidth="1"/>
    <col min="360" max="360" width="13.69140625" customWidth="1"/>
    <col min="361" max="361" width="10.53515625" customWidth="1"/>
    <col min="362" max="362" width="13.69140625" customWidth="1"/>
    <col min="363" max="363" width="10.53515625" customWidth="1"/>
    <col min="364" max="364" width="13.69140625" customWidth="1"/>
    <col min="365" max="365" width="10.53515625" customWidth="1"/>
    <col min="366" max="366" width="13.69140625" customWidth="1"/>
    <col min="367" max="367" width="10.53515625" customWidth="1"/>
    <col min="368" max="368" width="13.69140625" customWidth="1"/>
    <col min="369" max="369" width="11.53515625" customWidth="1"/>
    <col min="370" max="370" width="14.69140625" customWidth="1"/>
    <col min="371" max="371" width="11.53515625" customWidth="1"/>
    <col min="372" max="372" width="14.69140625" customWidth="1"/>
    <col min="373" max="373" width="11.53515625" customWidth="1"/>
    <col min="374" max="374" width="14.69140625" customWidth="1"/>
    <col min="375" max="375" width="11.53515625" customWidth="1"/>
    <col min="376" max="376" width="14.69140625" customWidth="1"/>
    <col min="377" max="377" width="11.53515625" customWidth="1"/>
    <col min="378" max="378" width="14.69140625" customWidth="1"/>
    <col min="379" max="379" width="11.53515625" customWidth="1"/>
    <col min="380" max="380" width="14.69140625" customWidth="1"/>
    <col min="381" max="381" width="11.53515625" customWidth="1"/>
    <col min="382" max="382" width="14.69140625" customWidth="1"/>
    <col min="383" max="383" width="11.53515625" customWidth="1"/>
    <col min="384" max="384" width="14.69140625" customWidth="1"/>
    <col min="385" max="385" width="11.53515625" customWidth="1"/>
    <col min="386" max="386" width="14.69140625" customWidth="1"/>
    <col min="387" max="387" width="11.53515625" customWidth="1"/>
    <col min="388" max="388" width="14.69140625" customWidth="1"/>
    <col min="389" max="389" width="11.53515625" customWidth="1"/>
    <col min="390" max="390" width="14.69140625" customWidth="1"/>
    <col min="391" max="391" width="11.53515625" customWidth="1"/>
    <col min="392" max="392" width="14.69140625" customWidth="1"/>
    <col min="393" max="393" width="11.53515625" customWidth="1"/>
    <col min="394" max="394" width="14.69140625" customWidth="1"/>
    <col min="395" max="395" width="11.53515625" customWidth="1"/>
    <col min="396" max="396" width="14.69140625" customWidth="1"/>
    <col min="397" max="397" width="11.53515625" customWidth="1"/>
    <col min="398" max="398" width="14.69140625" customWidth="1"/>
    <col min="399" max="399" width="11.53515625" customWidth="1"/>
    <col min="400" max="400" width="14.69140625" customWidth="1"/>
    <col min="401" max="401" width="10.53515625" customWidth="1"/>
    <col min="402" max="402" width="13.69140625" customWidth="1"/>
    <col min="403" max="403" width="10.53515625" customWidth="1"/>
    <col min="404" max="404" width="13.69140625" customWidth="1"/>
    <col min="405" max="405" width="10.53515625" customWidth="1"/>
    <col min="406" max="406" width="13.69140625" customWidth="1"/>
    <col min="407" max="407" width="10.53515625" customWidth="1"/>
    <col min="408" max="408" width="13.69140625" customWidth="1"/>
    <col min="409" max="409" width="10.53515625" customWidth="1"/>
    <col min="410" max="410" width="13.69140625" customWidth="1"/>
    <col min="411" max="411" width="10.53515625" customWidth="1"/>
    <col min="412" max="412" width="13.69140625" customWidth="1"/>
    <col min="413" max="413" width="11.53515625" customWidth="1"/>
    <col min="414" max="414" width="14.69140625" customWidth="1"/>
    <col min="415" max="415" width="11.53515625" customWidth="1"/>
    <col min="416" max="416" width="14.69140625" customWidth="1"/>
    <col min="417" max="417" width="11.53515625" customWidth="1"/>
    <col min="418" max="418" width="14.69140625" customWidth="1"/>
    <col min="419" max="419" width="11.53515625" customWidth="1"/>
    <col min="420" max="420" width="14.69140625" customWidth="1"/>
    <col min="421" max="421" width="11.53515625" customWidth="1"/>
    <col min="422" max="422" width="14.69140625" customWidth="1"/>
    <col min="423" max="423" width="11.53515625" customWidth="1"/>
    <col min="424" max="424" width="14.69140625" customWidth="1"/>
    <col min="425" max="425" width="11.53515625" customWidth="1"/>
    <col min="426" max="426" width="14.69140625" customWidth="1"/>
    <col min="427" max="427" width="11.53515625" customWidth="1"/>
    <col min="428" max="428" width="14.69140625" customWidth="1"/>
    <col min="429" max="429" width="11.53515625" customWidth="1"/>
    <col min="430" max="430" width="14.69140625" customWidth="1"/>
    <col min="431" max="431" width="11.53515625" customWidth="1"/>
    <col min="432" max="432" width="14.69140625" customWidth="1"/>
    <col min="433" max="433" width="11.53515625" customWidth="1"/>
    <col min="434" max="434" width="14.69140625" customWidth="1"/>
    <col min="435" max="435" width="11.53515625" customWidth="1"/>
    <col min="436" max="436" width="14.69140625" customWidth="1"/>
    <col min="437" max="437" width="11.53515625" customWidth="1"/>
    <col min="438" max="438" width="14.69140625" customWidth="1"/>
    <col min="439" max="439" width="11.53515625" customWidth="1"/>
    <col min="440" max="440" width="14.69140625" customWidth="1"/>
    <col min="441" max="441" width="11.53515625" customWidth="1"/>
    <col min="442" max="442" width="14.69140625" customWidth="1"/>
    <col min="443" max="443" width="11.53515625" customWidth="1"/>
    <col min="444" max="444" width="14.69140625" customWidth="1"/>
    <col min="445" max="445" width="11.53515625" customWidth="1"/>
    <col min="446" max="446" width="14.69140625" customWidth="1"/>
    <col min="447" max="447" width="11.53515625" customWidth="1"/>
    <col min="448" max="448" width="14.69140625" customWidth="1"/>
    <col min="449" max="449" width="11.53515625" customWidth="1"/>
    <col min="450" max="450" width="14.69140625" customWidth="1"/>
    <col min="451" max="451" width="11.53515625" customWidth="1"/>
    <col min="452" max="452" width="14.69140625" customWidth="1"/>
    <col min="453" max="453" width="11.53515625" customWidth="1"/>
    <col min="454" max="454" width="14.69140625" customWidth="1"/>
    <col min="455" max="455" width="11.53515625" customWidth="1"/>
    <col min="456" max="456" width="14.69140625" customWidth="1"/>
    <col min="457" max="457" width="11.53515625" customWidth="1"/>
    <col min="458" max="458" width="14.69140625" customWidth="1"/>
    <col min="459" max="459" width="11.53515625" customWidth="1"/>
    <col min="460" max="460" width="14.69140625" customWidth="1"/>
    <col min="461" max="461" width="12.53515625" customWidth="1"/>
    <col min="462" max="462" width="15.69140625" customWidth="1"/>
    <col min="463" max="463" width="12.53515625" customWidth="1"/>
    <col min="464" max="464" width="15.69140625" customWidth="1"/>
    <col min="465" max="465" width="12.53515625" customWidth="1"/>
    <col min="466" max="466" width="15.69140625" customWidth="1"/>
    <col min="467" max="467" width="12.53515625" customWidth="1"/>
    <col min="468" max="468" width="15.69140625" customWidth="1"/>
    <col min="469" max="469" width="12.53515625" customWidth="1"/>
    <col min="470" max="470" width="15.69140625" customWidth="1"/>
    <col min="471" max="471" width="12.53515625" customWidth="1"/>
    <col min="472" max="472" width="15.69140625" customWidth="1"/>
    <col min="473" max="473" width="12.53515625" customWidth="1"/>
    <col min="474" max="474" width="15.69140625" customWidth="1"/>
    <col min="475" max="475" width="12.53515625" customWidth="1"/>
    <col min="476" max="476" width="15.69140625" customWidth="1"/>
    <col min="477" max="477" width="12.53515625" customWidth="1"/>
    <col min="478" max="478" width="15.69140625" customWidth="1"/>
    <col min="479" max="479" width="12.53515625" customWidth="1"/>
    <col min="480" max="480" width="15.69140625" customWidth="1"/>
    <col min="481" max="481" width="12.53515625" customWidth="1"/>
    <col min="482" max="482" width="15.69140625" customWidth="1"/>
    <col min="483" max="483" width="12.53515625" customWidth="1"/>
    <col min="484" max="484" width="15.69140625" customWidth="1"/>
    <col min="485" max="485" width="12.53515625" customWidth="1"/>
    <col min="486" max="486" width="15.69140625" customWidth="1"/>
    <col min="487" max="487" width="12.53515625" customWidth="1"/>
    <col min="488" max="488" width="15.69140625" customWidth="1"/>
    <col min="489" max="489" width="12.53515625" customWidth="1"/>
    <col min="490" max="490" width="15.69140625" customWidth="1"/>
    <col min="491" max="491" width="11.53515625" customWidth="1"/>
    <col min="492" max="492" width="14.69140625" customWidth="1"/>
    <col min="493" max="493" width="11.53515625" customWidth="1"/>
    <col min="494" max="494" width="14.69140625" customWidth="1"/>
    <col min="495" max="495" width="11.53515625" customWidth="1"/>
    <col min="496" max="496" width="14.69140625" customWidth="1"/>
    <col min="497" max="497" width="11.53515625" customWidth="1"/>
    <col min="498" max="498" width="14.69140625" customWidth="1"/>
    <col min="499" max="499" width="11.53515625" customWidth="1"/>
    <col min="500" max="500" width="14.69140625" customWidth="1"/>
    <col min="501" max="501" width="11.53515625" customWidth="1"/>
    <col min="502" max="502" width="14.69140625" customWidth="1"/>
    <col min="503" max="503" width="11.53515625" customWidth="1"/>
    <col min="504" max="504" width="14.69140625" customWidth="1"/>
    <col min="505" max="505" width="12.53515625" customWidth="1"/>
    <col min="506" max="506" width="15.69140625" customWidth="1"/>
    <col min="507" max="507" width="12.53515625" customWidth="1"/>
    <col min="508" max="508" width="15.69140625" customWidth="1"/>
    <col min="509" max="509" width="12.53515625" customWidth="1"/>
    <col min="510" max="510" width="15.69140625" customWidth="1"/>
    <col min="511" max="511" width="12.53515625" customWidth="1"/>
    <col min="512" max="512" width="15.69140625" customWidth="1"/>
    <col min="513" max="513" width="12.53515625" customWidth="1"/>
    <col min="514" max="514" width="15.69140625" customWidth="1"/>
    <col min="515" max="515" width="12.53515625" customWidth="1"/>
    <col min="516" max="516" width="15.69140625" customWidth="1"/>
    <col min="517" max="517" width="12.53515625" customWidth="1"/>
    <col min="518" max="518" width="15.69140625" customWidth="1"/>
    <col min="519" max="519" width="12.53515625" customWidth="1"/>
    <col min="520" max="520" width="15.69140625" customWidth="1"/>
    <col min="521" max="521" width="12.53515625" customWidth="1"/>
    <col min="522" max="522" width="15.69140625" customWidth="1"/>
    <col min="523" max="523" width="12.53515625" customWidth="1"/>
    <col min="524" max="524" width="15.69140625" customWidth="1"/>
    <col min="525" max="525" width="12.53515625" customWidth="1"/>
    <col min="526" max="526" width="15.69140625" customWidth="1"/>
    <col min="527" max="527" width="12.53515625" customWidth="1"/>
    <col min="528" max="528" width="15.69140625" customWidth="1"/>
    <col min="529" max="529" width="12.53515625" customWidth="1"/>
    <col min="530" max="530" width="15.69140625" customWidth="1"/>
    <col min="531" max="531" width="12.53515625" customWidth="1"/>
    <col min="532" max="532" width="15.69140625" customWidth="1"/>
    <col min="533" max="533" width="12.53515625" customWidth="1"/>
    <col min="534" max="534" width="15.69140625" customWidth="1"/>
    <col min="535" max="535" width="11.53515625" customWidth="1"/>
    <col min="536" max="536" width="14.69140625" customWidth="1"/>
    <col min="537" max="537" width="11.53515625" customWidth="1"/>
    <col min="538" max="538" width="14.69140625" customWidth="1"/>
    <col min="539" max="539" width="11.53515625" customWidth="1"/>
    <col min="540" max="540" width="14.69140625" customWidth="1"/>
    <col min="541" max="541" width="11.53515625" customWidth="1"/>
    <col min="542" max="542" width="14.69140625" customWidth="1"/>
    <col min="543" max="543" width="11.53515625" customWidth="1"/>
    <col min="544" max="544" width="14.69140625" customWidth="1"/>
    <col min="545" max="545" width="11.53515625" customWidth="1"/>
    <col min="546" max="546" width="14.69140625" customWidth="1"/>
    <col min="547" max="547" width="12.53515625" customWidth="1"/>
    <col min="548" max="548" width="15.69140625" customWidth="1"/>
    <col min="549" max="549" width="12.53515625" customWidth="1"/>
    <col min="550" max="550" width="15.69140625" customWidth="1"/>
    <col min="551" max="551" width="12.53515625" customWidth="1"/>
    <col min="552" max="552" width="15.69140625" customWidth="1"/>
    <col min="553" max="553" width="12.53515625" customWidth="1"/>
    <col min="554" max="554" width="15.69140625" customWidth="1"/>
    <col min="555" max="555" width="12.53515625" customWidth="1"/>
    <col min="556" max="556" width="15.69140625" customWidth="1"/>
    <col min="557" max="557" width="12.53515625" customWidth="1"/>
    <col min="558" max="558" width="15.69140625" customWidth="1"/>
    <col min="559" max="559" width="12.53515625" customWidth="1"/>
    <col min="560" max="560" width="15.69140625" customWidth="1"/>
    <col min="561" max="561" width="12.53515625" customWidth="1"/>
    <col min="562" max="562" width="15.69140625" customWidth="1"/>
    <col min="563" max="563" width="12.53515625" customWidth="1"/>
    <col min="564" max="564" width="15.69140625" customWidth="1"/>
    <col min="565" max="565" width="12.53515625" customWidth="1"/>
    <col min="566" max="566" width="15.69140625" customWidth="1"/>
    <col min="567" max="567" width="12.53515625" customWidth="1"/>
    <col min="568" max="568" width="15.69140625" customWidth="1"/>
    <col min="569" max="569" width="12.53515625" customWidth="1"/>
    <col min="570" max="570" width="15.69140625" customWidth="1"/>
    <col min="571" max="571" width="12.53515625" customWidth="1"/>
    <col min="572" max="572" width="15.69140625" customWidth="1"/>
    <col min="573" max="573" width="12.53515625" customWidth="1"/>
    <col min="574" max="574" width="15.69140625" customWidth="1"/>
    <col min="575" max="575" width="12.53515625" customWidth="1"/>
    <col min="576" max="576" width="15.69140625" customWidth="1"/>
    <col min="577" max="577" width="12.53515625" customWidth="1"/>
    <col min="578" max="578" width="15.69140625" customWidth="1"/>
    <col min="579" max="579" width="10.53515625" customWidth="1"/>
    <col min="580" max="580" width="13.69140625" customWidth="1"/>
    <col min="581" max="581" width="10.53515625" customWidth="1"/>
    <col min="582" max="582" width="13.69140625" customWidth="1"/>
    <col min="583" max="583" width="10.53515625" customWidth="1"/>
    <col min="584" max="584" width="13.69140625" customWidth="1"/>
    <col min="585" max="585" width="10.53515625" customWidth="1"/>
    <col min="586" max="586" width="13.69140625" customWidth="1"/>
    <col min="587" max="587" width="10.53515625" customWidth="1"/>
    <col min="588" max="588" width="13.69140625" customWidth="1"/>
    <col min="589" max="589" width="10.53515625" customWidth="1"/>
    <col min="590" max="590" width="13.69140625" customWidth="1"/>
    <col min="591" max="591" width="10.53515625" customWidth="1"/>
    <col min="592" max="592" width="13.69140625" customWidth="1"/>
    <col min="593" max="593" width="10.53515625" customWidth="1"/>
    <col min="594" max="594" width="13.69140625" customWidth="1"/>
    <col min="595" max="595" width="11.53515625" customWidth="1"/>
    <col min="596" max="596" width="14.69140625" customWidth="1"/>
    <col min="597" max="597" width="11.53515625" customWidth="1"/>
    <col min="598" max="598" width="14.69140625" customWidth="1"/>
    <col min="599" max="599" width="11.53515625" customWidth="1"/>
    <col min="600" max="600" width="14.69140625" customWidth="1"/>
    <col min="601" max="601" width="11.53515625" customWidth="1"/>
    <col min="602" max="602" width="14.69140625" customWidth="1"/>
    <col min="603" max="603" width="11.53515625" customWidth="1"/>
    <col min="604" max="604" width="14.69140625" customWidth="1"/>
    <col min="605" max="605" width="11.53515625" customWidth="1"/>
    <col min="606" max="606" width="14.69140625" customWidth="1"/>
    <col min="607" max="607" width="11.53515625" customWidth="1"/>
    <col min="608" max="608" width="14.69140625" customWidth="1"/>
    <col min="609" max="609" width="11.53515625" customWidth="1"/>
    <col min="610" max="610" width="14.69140625" customWidth="1"/>
    <col min="611" max="611" width="11.53515625" customWidth="1"/>
    <col min="612" max="612" width="14.69140625" customWidth="1"/>
    <col min="613" max="613" width="11.53515625" customWidth="1"/>
    <col min="614" max="614" width="14.69140625" customWidth="1"/>
    <col min="615" max="615" width="11.53515625" customWidth="1"/>
    <col min="616" max="616" width="14.69140625" customWidth="1"/>
    <col min="617" max="617" width="11.53515625" customWidth="1"/>
    <col min="618" max="618" width="14.69140625" customWidth="1"/>
    <col min="619" max="619" width="11.53515625" customWidth="1"/>
    <col min="620" max="620" width="14.69140625" customWidth="1"/>
    <col min="621" max="621" width="11.53515625" customWidth="1"/>
    <col min="622" max="622" width="14.69140625" customWidth="1"/>
    <col min="623" max="623" width="11.53515625" customWidth="1"/>
    <col min="624" max="624" width="14.69140625" customWidth="1"/>
    <col min="625" max="625" width="11.53515625" customWidth="1"/>
    <col min="626" max="626" width="14.69140625" customWidth="1"/>
    <col min="627" max="627" width="11.3046875" customWidth="1"/>
  </cols>
  <sheetData>
    <row r="1" spans="2:13" ht="26.15" x14ac:dyDescent="0.7">
      <c r="B1" s="44" t="s">
        <v>181</v>
      </c>
      <c r="C1" s="48"/>
      <c r="D1" s="45"/>
      <c r="E1" s="45"/>
      <c r="F1" s="45"/>
      <c r="G1" s="45"/>
      <c r="H1" s="45"/>
      <c r="I1" s="45"/>
      <c r="J1" s="45"/>
      <c r="K1" s="45"/>
      <c r="L1" s="45"/>
      <c r="M1" s="45"/>
    </row>
    <row r="2" spans="2:13" ht="15" customHeight="1" x14ac:dyDescent="0.4"/>
    <row r="3" spans="2:13" ht="15" customHeight="1" x14ac:dyDescent="0.4">
      <c r="B3" s="51" t="str">
        <f ca="1">"Today's Date: "&amp;TEXT(TODAY(),"MM/DD/YY")&amp;", "&amp;TEXT(TODAY(),"DDDD")</f>
        <v>Today's Date: 06/09/19, Sunday</v>
      </c>
    </row>
    <row r="4" spans="2:13" ht="15" customHeight="1" x14ac:dyDescent="0.4"/>
    <row r="10" spans="2:13" ht="3" customHeight="1" x14ac:dyDescent="0.4"/>
    <row r="11" spans="2:13" x14ac:dyDescent="0.4">
      <c r="D11" s="47" t="s">
        <v>112</v>
      </c>
      <c r="E11" s="49" t="s">
        <v>11</v>
      </c>
      <c r="F11" s="50" t="s">
        <v>30</v>
      </c>
      <c r="G11" s="50" t="s">
        <v>5</v>
      </c>
      <c r="H11" s="50" t="s">
        <v>42</v>
      </c>
      <c r="I11" s="50" t="s">
        <v>41</v>
      </c>
      <c r="J11" s="50" t="s">
        <v>8</v>
      </c>
      <c r="K11" s="50" t="s">
        <v>31</v>
      </c>
      <c r="L11" s="50" t="s">
        <v>32</v>
      </c>
      <c r="M11" s="50" t="s">
        <v>34</v>
      </c>
    </row>
    <row r="12" spans="2:13" x14ac:dyDescent="0.4">
      <c r="D12" t="s">
        <v>168</v>
      </c>
      <c r="E12" s="70">
        <v>43830</v>
      </c>
      <c r="F12" t="s">
        <v>21</v>
      </c>
      <c r="G12" t="s">
        <v>170</v>
      </c>
      <c r="H12" t="s">
        <v>44</v>
      </c>
      <c r="I12" t="s">
        <v>148</v>
      </c>
      <c r="J12" t="s">
        <v>16</v>
      </c>
      <c r="K12" t="s">
        <v>110</v>
      </c>
      <c r="L12" t="s">
        <v>169</v>
      </c>
      <c r="M12" t="s">
        <v>65</v>
      </c>
    </row>
    <row r="13" spans="2:13" x14ac:dyDescent="0.4">
      <c r="D13" t="s">
        <v>168</v>
      </c>
      <c r="E13" s="70">
        <v>43824</v>
      </c>
      <c r="F13" t="s">
        <v>2</v>
      </c>
      <c r="G13" t="s">
        <v>175</v>
      </c>
      <c r="H13" t="s">
        <v>44</v>
      </c>
      <c r="I13" t="s">
        <v>153</v>
      </c>
      <c r="J13" t="s">
        <v>15</v>
      </c>
      <c r="K13" t="s">
        <v>109</v>
      </c>
      <c r="L13" t="s">
        <v>169</v>
      </c>
      <c r="M13" t="s">
        <v>39</v>
      </c>
    </row>
    <row r="14" spans="2:13" x14ac:dyDescent="0.4">
      <c r="D14" t="s">
        <v>168</v>
      </c>
      <c r="E14" s="70">
        <v>43822</v>
      </c>
      <c r="F14" t="s">
        <v>1</v>
      </c>
      <c r="G14" t="s">
        <v>170</v>
      </c>
      <c r="H14" t="s">
        <v>44</v>
      </c>
      <c r="I14" t="s">
        <v>160</v>
      </c>
      <c r="J14" t="s">
        <v>16</v>
      </c>
      <c r="K14" t="s">
        <v>110</v>
      </c>
      <c r="L14" t="s">
        <v>169</v>
      </c>
      <c r="M14" t="s">
        <v>97</v>
      </c>
    </row>
    <row r="15" spans="2:13" x14ac:dyDescent="0.4">
      <c r="D15" t="s">
        <v>168</v>
      </c>
      <c r="E15" s="70">
        <v>43822</v>
      </c>
      <c r="F15" t="s">
        <v>1</v>
      </c>
      <c r="G15" t="s">
        <v>174</v>
      </c>
      <c r="H15" t="s">
        <v>44</v>
      </c>
      <c r="I15" t="s">
        <v>146</v>
      </c>
      <c r="J15" t="s">
        <v>16</v>
      </c>
      <c r="K15" t="s">
        <v>110</v>
      </c>
      <c r="L15" t="s">
        <v>169</v>
      </c>
      <c r="M15" t="s">
        <v>50</v>
      </c>
    </row>
    <row r="16" spans="2:13" x14ac:dyDescent="0.4">
      <c r="D16" t="s">
        <v>168</v>
      </c>
      <c r="E16" s="70">
        <v>43819</v>
      </c>
      <c r="F16" t="s">
        <v>3</v>
      </c>
      <c r="G16" t="s">
        <v>172</v>
      </c>
      <c r="H16" t="s">
        <v>44</v>
      </c>
      <c r="I16" t="s">
        <v>160</v>
      </c>
      <c r="J16" t="s">
        <v>15</v>
      </c>
      <c r="K16" t="s">
        <v>109</v>
      </c>
      <c r="L16" t="s">
        <v>169</v>
      </c>
      <c r="M16" t="s">
        <v>49</v>
      </c>
    </row>
    <row r="17" spans="4:13" x14ac:dyDescent="0.4">
      <c r="D17" t="s">
        <v>168</v>
      </c>
      <c r="E17" s="70">
        <v>43818</v>
      </c>
      <c r="F17" t="s">
        <v>24</v>
      </c>
      <c r="G17" t="s">
        <v>175</v>
      </c>
      <c r="H17" t="s">
        <v>44</v>
      </c>
      <c r="I17" t="s">
        <v>160</v>
      </c>
      <c r="J17" t="s">
        <v>15</v>
      </c>
      <c r="K17" t="s">
        <v>109</v>
      </c>
      <c r="L17" t="s">
        <v>169</v>
      </c>
      <c r="M17" t="s">
        <v>38</v>
      </c>
    </row>
    <row r="18" spans="4:13" x14ac:dyDescent="0.4">
      <c r="D18" t="s">
        <v>168</v>
      </c>
      <c r="E18" s="70">
        <v>43817</v>
      </c>
      <c r="F18" t="s">
        <v>2</v>
      </c>
      <c r="G18" t="s">
        <v>174</v>
      </c>
      <c r="H18" t="s">
        <v>44</v>
      </c>
      <c r="I18" t="s">
        <v>146</v>
      </c>
      <c r="J18" t="s">
        <v>16</v>
      </c>
      <c r="K18" t="s">
        <v>110</v>
      </c>
      <c r="L18" t="s">
        <v>169</v>
      </c>
      <c r="M18" t="s">
        <v>48</v>
      </c>
    </row>
    <row r="19" spans="4:13" x14ac:dyDescent="0.4">
      <c r="D19" t="s">
        <v>168</v>
      </c>
      <c r="E19" s="70">
        <v>43815</v>
      </c>
      <c r="F19" t="s">
        <v>1</v>
      </c>
      <c r="G19" t="s">
        <v>170</v>
      </c>
      <c r="H19" t="s">
        <v>44</v>
      </c>
      <c r="I19" t="s">
        <v>146</v>
      </c>
      <c r="J19" t="s">
        <v>16</v>
      </c>
      <c r="K19" t="s">
        <v>110</v>
      </c>
      <c r="L19" t="s">
        <v>169</v>
      </c>
      <c r="M19" t="s">
        <v>86</v>
      </c>
    </row>
    <row r="20" spans="4:13" x14ac:dyDescent="0.4">
      <c r="D20" t="s">
        <v>168</v>
      </c>
      <c r="E20" s="70">
        <v>43815</v>
      </c>
      <c r="F20" t="s">
        <v>1</v>
      </c>
      <c r="G20" t="s">
        <v>173</v>
      </c>
      <c r="H20" t="s">
        <v>44</v>
      </c>
      <c r="I20" t="s">
        <v>146</v>
      </c>
      <c r="J20" t="s">
        <v>16</v>
      </c>
      <c r="K20" t="s">
        <v>110</v>
      </c>
      <c r="L20" t="s">
        <v>169</v>
      </c>
      <c r="M20" t="s">
        <v>46</v>
      </c>
    </row>
    <row r="21" spans="4:13" x14ac:dyDescent="0.4">
      <c r="D21" t="s">
        <v>168</v>
      </c>
      <c r="E21" s="70">
        <v>43815</v>
      </c>
      <c r="F21" t="s">
        <v>1</v>
      </c>
      <c r="G21" t="s">
        <v>174</v>
      </c>
      <c r="H21" t="s">
        <v>44</v>
      </c>
      <c r="I21" t="s">
        <v>158</v>
      </c>
      <c r="J21" t="s">
        <v>16</v>
      </c>
      <c r="K21" t="s">
        <v>110</v>
      </c>
      <c r="L21" t="s">
        <v>169</v>
      </c>
      <c r="M21" t="s">
        <v>47</v>
      </c>
    </row>
    <row r="22" spans="4:13" x14ac:dyDescent="0.4">
      <c r="D22" t="s">
        <v>168</v>
      </c>
      <c r="E22" s="70">
        <v>43812</v>
      </c>
      <c r="F22" t="s">
        <v>3</v>
      </c>
      <c r="G22" t="s">
        <v>171</v>
      </c>
      <c r="H22" t="s">
        <v>44</v>
      </c>
      <c r="I22" t="s">
        <v>159</v>
      </c>
      <c r="J22" t="s">
        <v>15</v>
      </c>
      <c r="K22" t="s">
        <v>109</v>
      </c>
      <c r="L22" t="s">
        <v>169</v>
      </c>
      <c r="M22" t="s">
        <v>66</v>
      </c>
    </row>
    <row r="23" spans="4:13" x14ac:dyDescent="0.4">
      <c r="D23" t="s">
        <v>168</v>
      </c>
      <c r="E23" s="70">
        <v>43811</v>
      </c>
      <c r="F23" t="s">
        <v>24</v>
      </c>
      <c r="G23" t="s">
        <v>170</v>
      </c>
      <c r="H23" t="s">
        <v>44</v>
      </c>
      <c r="I23" t="s">
        <v>148</v>
      </c>
      <c r="J23" t="s">
        <v>16</v>
      </c>
      <c r="K23" t="s">
        <v>110</v>
      </c>
      <c r="L23" t="s">
        <v>169</v>
      </c>
      <c r="M23" t="s">
        <v>37</v>
      </c>
    </row>
    <row r="24" spans="4:13" x14ac:dyDescent="0.4">
      <c r="D24" t="s">
        <v>168</v>
      </c>
      <c r="E24" s="70">
        <v>43810</v>
      </c>
      <c r="F24" t="s">
        <v>2</v>
      </c>
      <c r="G24" t="s">
        <v>172</v>
      </c>
      <c r="H24" t="s">
        <v>44</v>
      </c>
      <c r="I24" t="s">
        <v>148</v>
      </c>
      <c r="J24" t="s">
        <v>15</v>
      </c>
      <c r="K24" t="s">
        <v>109</v>
      </c>
      <c r="L24" t="s">
        <v>169</v>
      </c>
      <c r="M24" t="s">
        <v>45</v>
      </c>
    </row>
    <row r="25" spans="4:13" x14ac:dyDescent="0.4">
      <c r="D25" t="s">
        <v>168</v>
      </c>
      <c r="E25" s="70">
        <v>43809</v>
      </c>
      <c r="F25" t="s">
        <v>21</v>
      </c>
      <c r="G25" t="s">
        <v>171</v>
      </c>
      <c r="H25" t="s">
        <v>44</v>
      </c>
      <c r="I25" t="s">
        <v>160</v>
      </c>
      <c r="J25" t="s">
        <v>15</v>
      </c>
      <c r="K25" t="s">
        <v>109</v>
      </c>
      <c r="L25" t="s">
        <v>169</v>
      </c>
      <c r="M25" t="s">
        <v>40</v>
      </c>
    </row>
    <row r="26" spans="4:13" x14ac:dyDescent="0.4">
      <c r="D26" t="s">
        <v>168</v>
      </c>
      <c r="E26" s="70">
        <v>43808</v>
      </c>
      <c r="F26" t="s">
        <v>1</v>
      </c>
      <c r="G26" t="s">
        <v>176</v>
      </c>
      <c r="H26" t="s">
        <v>44</v>
      </c>
      <c r="I26" t="s">
        <v>162</v>
      </c>
      <c r="J26" t="s">
        <v>68</v>
      </c>
      <c r="K26" t="s">
        <v>69</v>
      </c>
      <c r="L26" t="s">
        <v>169</v>
      </c>
      <c r="M26" t="s">
        <v>73</v>
      </c>
    </row>
    <row r="27" spans="4:13" x14ac:dyDescent="0.4">
      <c r="D27" t="s">
        <v>168</v>
      </c>
      <c r="E27" s="70">
        <v>43808</v>
      </c>
      <c r="F27" t="s">
        <v>1</v>
      </c>
      <c r="G27" t="s">
        <v>177</v>
      </c>
      <c r="H27" t="s">
        <v>44</v>
      </c>
      <c r="I27" t="s">
        <v>160</v>
      </c>
      <c r="J27" t="s">
        <v>16</v>
      </c>
      <c r="K27" t="s">
        <v>110</v>
      </c>
      <c r="L27" t="s">
        <v>169</v>
      </c>
      <c r="M27" t="s">
        <v>108</v>
      </c>
    </row>
    <row r="28" spans="4:13" x14ac:dyDescent="0.4">
      <c r="D28" t="s">
        <v>168</v>
      </c>
      <c r="E28" s="70">
        <v>43805</v>
      </c>
      <c r="F28" t="s">
        <v>3</v>
      </c>
      <c r="G28" t="s">
        <v>170</v>
      </c>
      <c r="H28" t="s">
        <v>44</v>
      </c>
      <c r="I28" t="s">
        <v>148</v>
      </c>
      <c r="J28" t="s">
        <v>16</v>
      </c>
      <c r="K28" t="s">
        <v>110</v>
      </c>
      <c r="L28" t="s">
        <v>169</v>
      </c>
      <c r="M28" t="s">
        <v>35</v>
      </c>
    </row>
    <row r="29" spans="4:13" x14ac:dyDescent="0.4">
      <c r="D29" t="s">
        <v>168</v>
      </c>
      <c r="E29" s="70">
        <v>43802</v>
      </c>
      <c r="F29" t="s">
        <v>21</v>
      </c>
      <c r="G29" t="s">
        <v>170</v>
      </c>
      <c r="H29" t="s">
        <v>44</v>
      </c>
      <c r="I29" t="s">
        <v>153</v>
      </c>
      <c r="J29" t="s">
        <v>15</v>
      </c>
      <c r="K29" t="s">
        <v>109</v>
      </c>
      <c r="L29" t="s">
        <v>169</v>
      </c>
      <c r="M29" t="s">
        <v>36</v>
      </c>
    </row>
    <row r="30" spans="4:13" x14ac:dyDescent="0.4">
      <c r="D30" t="s">
        <v>168</v>
      </c>
      <c r="E30" s="70">
        <v>43801</v>
      </c>
      <c r="F30" t="s">
        <v>1</v>
      </c>
      <c r="G30" t="s">
        <v>173</v>
      </c>
      <c r="H30" t="s">
        <v>44</v>
      </c>
      <c r="I30" t="s">
        <v>158</v>
      </c>
      <c r="J30" t="s">
        <v>16</v>
      </c>
      <c r="K30" t="s">
        <v>110</v>
      </c>
      <c r="L30" t="s">
        <v>169</v>
      </c>
      <c r="M30" t="s">
        <v>52</v>
      </c>
    </row>
    <row r="31" spans="4:13" x14ac:dyDescent="0.4">
      <c r="D31" t="s">
        <v>168</v>
      </c>
      <c r="E31" s="70">
        <v>43795</v>
      </c>
      <c r="F31" t="s">
        <v>21</v>
      </c>
      <c r="G31" t="s">
        <v>170</v>
      </c>
      <c r="H31" t="s">
        <v>44</v>
      </c>
      <c r="I31" t="s">
        <v>148</v>
      </c>
      <c r="J31" t="s">
        <v>15</v>
      </c>
      <c r="K31" t="s">
        <v>109</v>
      </c>
      <c r="L31" t="s">
        <v>169</v>
      </c>
      <c r="M31" t="s">
        <v>65</v>
      </c>
    </row>
    <row r="32" spans="4:13" x14ac:dyDescent="0.4">
      <c r="D32" t="s">
        <v>168</v>
      </c>
      <c r="E32" s="70">
        <v>43794</v>
      </c>
      <c r="F32" t="s">
        <v>1</v>
      </c>
      <c r="G32" t="s">
        <v>175</v>
      </c>
      <c r="H32" t="s">
        <v>44</v>
      </c>
      <c r="I32" t="s">
        <v>153</v>
      </c>
      <c r="J32" t="s">
        <v>72</v>
      </c>
      <c r="K32" t="s">
        <v>121</v>
      </c>
      <c r="L32" t="s">
        <v>169</v>
      </c>
      <c r="M32" t="s">
        <v>39</v>
      </c>
    </row>
    <row r="33" spans="4:13" x14ac:dyDescent="0.4">
      <c r="D33" t="s">
        <v>168</v>
      </c>
      <c r="E33" s="70">
        <v>43791</v>
      </c>
      <c r="F33" t="s">
        <v>3</v>
      </c>
      <c r="G33" t="s">
        <v>170</v>
      </c>
      <c r="H33" t="s">
        <v>44</v>
      </c>
      <c r="I33" t="s">
        <v>160</v>
      </c>
      <c r="J33" t="s">
        <v>15</v>
      </c>
      <c r="K33" t="s">
        <v>109</v>
      </c>
      <c r="L33" t="s">
        <v>169</v>
      </c>
      <c r="M33" t="s">
        <v>97</v>
      </c>
    </row>
    <row r="34" spans="4:13" x14ac:dyDescent="0.4">
      <c r="D34" t="s">
        <v>168</v>
      </c>
      <c r="E34" s="70">
        <v>43790</v>
      </c>
      <c r="F34" t="s">
        <v>24</v>
      </c>
      <c r="G34" t="s">
        <v>174</v>
      </c>
      <c r="H34" t="s">
        <v>44</v>
      </c>
      <c r="I34" t="s">
        <v>146</v>
      </c>
      <c r="J34" t="s">
        <v>15</v>
      </c>
      <c r="K34" t="s">
        <v>109</v>
      </c>
      <c r="L34" t="s">
        <v>169</v>
      </c>
      <c r="M34" t="s">
        <v>50</v>
      </c>
    </row>
    <row r="35" spans="4:13" x14ac:dyDescent="0.4">
      <c r="D35" t="s">
        <v>168</v>
      </c>
      <c r="E35" s="70">
        <v>43789</v>
      </c>
      <c r="F35" t="s">
        <v>2</v>
      </c>
      <c r="G35" t="s">
        <v>172</v>
      </c>
      <c r="H35" t="s">
        <v>44</v>
      </c>
      <c r="I35" t="s">
        <v>160</v>
      </c>
      <c r="J35" t="s">
        <v>72</v>
      </c>
      <c r="K35" t="s">
        <v>121</v>
      </c>
      <c r="L35" t="s">
        <v>169</v>
      </c>
      <c r="M35" t="s">
        <v>49</v>
      </c>
    </row>
    <row r="36" spans="4:13" x14ac:dyDescent="0.4">
      <c r="D36" t="s">
        <v>168</v>
      </c>
      <c r="E36" s="70">
        <v>43788</v>
      </c>
      <c r="F36" t="s">
        <v>21</v>
      </c>
      <c r="G36" t="s">
        <v>175</v>
      </c>
      <c r="H36" t="s">
        <v>44</v>
      </c>
      <c r="I36" t="s">
        <v>160</v>
      </c>
      <c r="J36" t="s">
        <v>72</v>
      </c>
      <c r="K36" t="s">
        <v>121</v>
      </c>
      <c r="L36" t="s">
        <v>169</v>
      </c>
      <c r="M36" t="s">
        <v>38</v>
      </c>
    </row>
    <row r="37" spans="4:13" x14ac:dyDescent="0.4">
      <c r="D37" t="s">
        <v>168</v>
      </c>
      <c r="E37" s="70">
        <v>43787</v>
      </c>
      <c r="F37" t="s">
        <v>1</v>
      </c>
      <c r="G37" t="s">
        <v>174</v>
      </c>
      <c r="H37" t="s">
        <v>44</v>
      </c>
      <c r="I37" t="s">
        <v>146</v>
      </c>
      <c r="J37" t="s">
        <v>15</v>
      </c>
      <c r="K37" t="s">
        <v>109</v>
      </c>
      <c r="L37" t="s">
        <v>169</v>
      </c>
      <c r="M37" t="s">
        <v>48</v>
      </c>
    </row>
    <row r="38" spans="4:13" x14ac:dyDescent="0.4">
      <c r="D38" t="s">
        <v>168</v>
      </c>
      <c r="E38" s="70">
        <v>43787</v>
      </c>
      <c r="F38" t="s">
        <v>1</v>
      </c>
      <c r="G38" t="s">
        <v>174</v>
      </c>
      <c r="H38" t="s">
        <v>44</v>
      </c>
      <c r="I38" t="s">
        <v>158</v>
      </c>
      <c r="J38" t="s">
        <v>15</v>
      </c>
      <c r="K38" t="s">
        <v>109</v>
      </c>
      <c r="L38" t="s">
        <v>169</v>
      </c>
      <c r="M38" t="s">
        <v>47</v>
      </c>
    </row>
    <row r="39" spans="4:13" x14ac:dyDescent="0.4">
      <c r="D39" t="s">
        <v>168</v>
      </c>
      <c r="E39" s="70">
        <v>43784</v>
      </c>
      <c r="F39" t="s">
        <v>3</v>
      </c>
      <c r="G39" t="s">
        <v>170</v>
      </c>
      <c r="H39" t="s">
        <v>44</v>
      </c>
      <c r="I39" t="s">
        <v>146</v>
      </c>
      <c r="J39" t="s">
        <v>15</v>
      </c>
      <c r="K39" t="s">
        <v>109</v>
      </c>
      <c r="L39" t="s">
        <v>169</v>
      </c>
      <c r="M39" t="s">
        <v>86</v>
      </c>
    </row>
    <row r="40" spans="4:13" x14ac:dyDescent="0.4">
      <c r="D40" t="s">
        <v>168</v>
      </c>
      <c r="E40" s="70">
        <v>43783</v>
      </c>
      <c r="F40" t="s">
        <v>24</v>
      </c>
      <c r="G40" t="s">
        <v>173</v>
      </c>
      <c r="H40" t="s">
        <v>44</v>
      </c>
      <c r="I40" t="s">
        <v>146</v>
      </c>
      <c r="J40" t="s">
        <v>15</v>
      </c>
      <c r="K40" t="s">
        <v>109</v>
      </c>
      <c r="L40" t="s">
        <v>169</v>
      </c>
      <c r="M40" t="s">
        <v>46</v>
      </c>
    </row>
    <row r="41" spans="4:13" x14ac:dyDescent="0.4">
      <c r="D41" t="s">
        <v>168</v>
      </c>
      <c r="E41" s="70">
        <v>43782</v>
      </c>
      <c r="F41" t="s">
        <v>2</v>
      </c>
      <c r="G41" t="s">
        <v>171</v>
      </c>
      <c r="H41" t="s">
        <v>44</v>
      </c>
      <c r="I41" t="s">
        <v>159</v>
      </c>
      <c r="J41" t="s">
        <v>72</v>
      </c>
      <c r="K41" t="s">
        <v>121</v>
      </c>
      <c r="L41" t="s">
        <v>169</v>
      </c>
      <c r="M41" t="s">
        <v>66</v>
      </c>
    </row>
    <row r="42" spans="4:13" x14ac:dyDescent="0.4">
      <c r="D42" t="s">
        <v>168</v>
      </c>
      <c r="E42" s="70">
        <v>43781</v>
      </c>
      <c r="F42" t="s">
        <v>21</v>
      </c>
      <c r="G42" t="s">
        <v>170</v>
      </c>
      <c r="H42" t="s">
        <v>44</v>
      </c>
      <c r="I42" t="s">
        <v>148</v>
      </c>
      <c r="J42" t="s">
        <v>15</v>
      </c>
      <c r="K42" t="s">
        <v>109</v>
      </c>
      <c r="L42" t="s">
        <v>169</v>
      </c>
      <c r="M42" t="s">
        <v>37</v>
      </c>
    </row>
    <row r="43" spans="4:13" x14ac:dyDescent="0.4">
      <c r="D43" t="s">
        <v>168</v>
      </c>
      <c r="E43" s="70">
        <v>43780</v>
      </c>
      <c r="F43" t="s">
        <v>1</v>
      </c>
      <c r="G43" t="s">
        <v>171</v>
      </c>
      <c r="H43" t="s">
        <v>44</v>
      </c>
      <c r="I43" t="s">
        <v>160</v>
      </c>
      <c r="J43" t="s">
        <v>72</v>
      </c>
      <c r="K43" t="s">
        <v>121</v>
      </c>
      <c r="L43" t="s">
        <v>169</v>
      </c>
      <c r="M43" t="s">
        <v>40</v>
      </c>
    </row>
    <row r="44" spans="4:13" x14ac:dyDescent="0.4">
      <c r="D44" t="s">
        <v>168</v>
      </c>
      <c r="E44" s="70">
        <v>43780</v>
      </c>
      <c r="F44" t="s">
        <v>1</v>
      </c>
      <c r="G44" t="s">
        <v>172</v>
      </c>
      <c r="H44" t="s">
        <v>44</v>
      </c>
      <c r="I44" t="s">
        <v>148</v>
      </c>
      <c r="J44" t="s">
        <v>72</v>
      </c>
      <c r="K44" t="s">
        <v>121</v>
      </c>
      <c r="L44" t="s">
        <v>169</v>
      </c>
      <c r="M44" t="s">
        <v>45</v>
      </c>
    </row>
    <row r="45" spans="4:13" x14ac:dyDescent="0.4">
      <c r="D45" t="s">
        <v>168</v>
      </c>
      <c r="E45" s="70">
        <v>43780</v>
      </c>
      <c r="F45" t="s">
        <v>1</v>
      </c>
      <c r="G45" t="s">
        <v>177</v>
      </c>
      <c r="H45" t="s">
        <v>44</v>
      </c>
      <c r="I45" t="s">
        <v>160</v>
      </c>
      <c r="J45" t="s">
        <v>15</v>
      </c>
      <c r="K45" t="s">
        <v>109</v>
      </c>
      <c r="L45" t="s">
        <v>169</v>
      </c>
      <c r="M45" t="s">
        <v>108</v>
      </c>
    </row>
    <row r="46" spans="4:13" x14ac:dyDescent="0.4">
      <c r="D46" t="s">
        <v>168</v>
      </c>
      <c r="E46" s="70">
        <v>43777</v>
      </c>
      <c r="F46" t="s">
        <v>3</v>
      </c>
      <c r="G46" t="s">
        <v>176</v>
      </c>
      <c r="H46" t="s">
        <v>44</v>
      </c>
      <c r="I46" t="s">
        <v>162</v>
      </c>
      <c r="J46" t="s">
        <v>68</v>
      </c>
      <c r="K46" t="s">
        <v>69</v>
      </c>
      <c r="L46" t="s">
        <v>169</v>
      </c>
      <c r="M46" t="s">
        <v>73</v>
      </c>
    </row>
    <row r="47" spans="4:13" x14ac:dyDescent="0.4">
      <c r="D47" t="s">
        <v>168</v>
      </c>
      <c r="E47" s="70">
        <v>43774</v>
      </c>
      <c r="F47" t="s">
        <v>21</v>
      </c>
      <c r="G47" t="s">
        <v>170</v>
      </c>
      <c r="H47" t="s">
        <v>44</v>
      </c>
      <c r="I47" t="s">
        <v>153</v>
      </c>
      <c r="J47" t="s">
        <v>72</v>
      </c>
      <c r="K47" t="s">
        <v>121</v>
      </c>
      <c r="L47" t="s">
        <v>169</v>
      </c>
      <c r="M47" t="s">
        <v>36</v>
      </c>
    </row>
    <row r="48" spans="4:13" x14ac:dyDescent="0.4">
      <c r="D48" t="s">
        <v>168</v>
      </c>
      <c r="E48" s="70">
        <v>43770</v>
      </c>
      <c r="F48" t="s">
        <v>3</v>
      </c>
      <c r="G48" t="s">
        <v>170</v>
      </c>
      <c r="H48" t="s">
        <v>44</v>
      </c>
      <c r="I48" t="s">
        <v>148</v>
      </c>
      <c r="J48" t="s">
        <v>15</v>
      </c>
      <c r="K48" t="s">
        <v>109</v>
      </c>
      <c r="L48" t="s">
        <v>169</v>
      </c>
      <c r="M48" t="s">
        <v>35</v>
      </c>
    </row>
    <row r="49" spans="4:13" x14ac:dyDescent="0.4">
      <c r="D49" t="s">
        <v>168</v>
      </c>
      <c r="E49" s="70">
        <v>43770</v>
      </c>
      <c r="F49" t="s">
        <v>3</v>
      </c>
      <c r="G49" t="s">
        <v>173</v>
      </c>
      <c r="H49" t="s">
        <v>44</v>
      </c>
      <c r="I49" t="s">
        <v>158</v>
      </c>
      <c r="J49" t="s">
        <v>15</v>
      </c>
      <c r="K49" t="s">
        <v>109</v>
      </c>
      <c r="L49" t="s">
        <v>169</v>
      </c>
      <c r="M49" t="s">
        <v>52</v>
      </c>
    </row>
    <row r="50" spans="4:13" x14ac:dyDescent="0.4">
      <c r="D50" t="s">
        <v>168</v>
      </c>
      <c r="E50" s="70">
        <v>43767</v>
      </c>
      <c r="F50" t="s">
        <v>21</v>
      </c>
      <c r="G50" t="s">
        <v>170</v>
      </c>
      <c r="H50" t="s">
        <v>44</v>
      </c>
      <c r="I50" t="s">
        <v>148</v>
      </c>
      <c r="J50" t="s">
        <v>72</v>
      </c>
      <c r="K50" t="s">
        <v>121</v>
      </c>
      <c r="L50" t="s">
        <v>169</v>
      </c>
      <c r="M50" t="s">
        <v>65</v>
      </c>
    </row>
    <row r="51" spans="4:13" x14ac:dyDescent="0.4">
      <c r="D51" t="s">
        <v>168</v>
      </c>
      <c r="E51" s="70">
        <v>43763</v>
      </c>
      <c r="F51" t="s">
        <v>3</v>
      </c>
      <c r="G51" t="s">
        <v>175</v>
      </c>
      <c r="H51" t="s">
        <v>44</v>
      </c>
      <c r="I51" t="s">
        <v>153</v>
      </c>
      <c r="J51" t="s">
        <v>14</v>
      </c>
      <c r="K51" t="s">
        <v>120</v>
      </c>
      <c r="L51" t="s">
        <v>169</v>
      </c>
      <c r="M51" t="s">
        <v>39</v>
      </c>
    </row>
    <row r="52" spans="4:13" x14ac:dyDescent="0.4">
      <c r="D52" t="s">
        <v>168</v>
      </c>
      <c r="E52" s="70">
        <v>43760</v>
      </c>
      <c r="F52" t="s">
        <v>21</v>
      </c>
      <c r="G52" t="s">
        <v>170</v>
      </c>
      <c r="H52" t="s">
        <v>44</v>
      </c>
      <c r="I52" t="s">
        <v>160</v>
      </c>
      <c r="J52" t="s">
        <v>72</v>
      </c>
      <c r="K52" t="s">
        <v>121</v>
      </c>
      <c r="L52" t="s">
        <v>169</v>
      </c>
      <c r="M52" t="s">
        <v>97</v>
      </c>
    </row>
    <row r="53" spans="4:13" x14ac:dyDescent="0.4">
      <c r="D53" t="s">
        <v>168</v>
      </c>
      <c r="E53" s="70">
        <v>43759</v>
      </c>
      <c r="F53" t="s">
        <v>1</v>
      </c>
      <c r="G53" t="s">
        <v>172</v>
      </c>
      <c r="H53" t="s">
        <v>44</v>
      </c>
      <c r="I53" t="s">
        <v>160</v>
      </c>
      <c r="J53" t="s">
        <v>14</v>
      </c>
      <c r="K53" t="s">
        <v>120</v>
      </c>
      <c r="L53" t="s">
        <v>169</v>
      </c>
      <c r="M53" t="s">
        <v>49</v>
      </c>
    </row>
    <row r="54" spans="4:13" x14ac:dyDescent="0.4">
      <c r="D54" t="s">
        <v>168</v>
      </c>
      <c r="E54" s="70">
        <v>43759</v>
      </c>
      <c r="F54" t="s">
        <v>1</v>
      </c>
      <c r="G54" t="s">
        <v>174</v>
      </c>
      <c r="H54" t="s">
        <v>44</v>
      </c>
      <c r="I54" t="s">
        <v>146</v>
      </c>
      <c r="J54" t="s">
        <v>72</v>
      </c>
      <c r="K54" t="s">
        <v>121</v>
      </c>
      <c r="L54" t="s">
        <v>169</v>
      </c>
      <c r="M54" t="s">
        <v>50</v>
      </c>
    </row>
    <row r="55" spans="4:13" x14ac:dyDescent="0.4">
      <c r="D55" t="s">
        <v>168</v>
      </c>
      <c r="E55" s="70">
        <v>43759</v>
      </c>
      <c r="F55" t="s">
        <v>1</v>
      </c>
      <c r="G55" t="s">
        <v>175</v>
      </c>
      <c r="H55" t="s">
        <v>44</v>
      </c>
      <c r="I55" t="s">
        <v>160</v>
      </c>
      <c r="J55" t="s">
        <v>14</v>
      </c>
      <c r="K55" t="s">
        <v>120</v>
      </c>
      <c r="L55" t="s">
        <v>169</v>
      </c>
      <c r="M55" t="s">
        <v>38</v>
      </c>
    </row>
    <row r="56" spans="4:13" x14ac:dyDescent="0.4">
      <c r="D56" t="s">
        <v>168</v>
      </c>
      <c r="E56" s="70">
        <v>43756</v>
      </c>
      <c r="F56" t="s">
        <v>3</v>
      </c>
      <c r="G56" t="s">
        <v>174</v>
      </c>
      <c r="H56" t="s">
        <v>44</v>
      </c>
      <c r="I56" t="s">
        <v>146</v>
      </c>
      <c r="J56" t="s">
        <v>72</v>
      </c>
      <c r="K56" t="s">
        <v>121</v>
      </c>
      <c r="L56" t="s">
        <v>169</v>
      </c>
      <c r="M56" t="s">
        <v>48</v>
      </c>
    </row>
    <row r="57" spans="4:13" x14ac:dyDescent="0.4">
      <c r="D57" t="s">
        <v>168</v>
      </c>
      <c r="E57" s="70">
        <v>43754</v>
      </c>
      <c r="F57" t="s">
        <v>2</v>
      </c>
      <c r="G57" t="s">
        <v>174</v>
      </c>
      <c r="H57" t="s">
        <v>44</v>
      </c>
      <c r="I57" t="s">
        <v>158</v>
      </c>
      <c r="J57" t="s">
        <v>72</v>
      </c>
      <c r="K57" t="s">
        <v>121</v>
      </c>
      <c r="L57" t="s">
        <v>169</v>
      </c>
      <c r="M57" t="s">
        <v>47</v>
      </c>
    </row>
    <row r="58" spans="4:13" x14ac:dyDescent="0.4">
      <c r="D58" t="s">
        <v>168</v>
      </c>
      <c r="E58" s="70">
        <v>43753</v>
      </c>
      <c r="F58" t="s">
        <v>21</v>
      </c>
      <c r="G58" t="s">
        <v>170</v>
      </c>
      <c r="H58" t="s">
        <v>44</v>
      </c>
      <c r="I58" t="s">
        <v>146</v>
      </c>
      <c r="J58" t="s">
        <v>72</v>
      </c>
      <c r="K58" t="s">
        <v>121</v>
      </c>
      <c r="L58" t="s">
        <v>169</v>
      </c>
      <c r="M58" t="s">
        <v>86</v>
      </c>
    </row>
    <row r="59" spans="4:13" x14ac:dyDescent="0.4">
      <c r="D59" t="s">
        <v>168</v>
      </c>
      <c r="E59" s="70">
        <v>43752</v>
      </c>
      <c r="F59" t="s">
        <v>1</v>
      </c>
      <c r="G59" t="s">
        <v>170</v>
      </c>
      <c r="H59" t="s">
        <v>44</v>
      </c>
      <c r="I59" t="s">
        <v>148</v>
      </c>
      <c r="J59" t="s">
        <v>72</v>
      </c>
      <c r="K59" t="s">
        <v>121</v>
      </c>
      <c r="L59" t="s">
        <v>169</v>
      </c>
      <c r="M59" t="s">
        <v>37</v>
      </c>
    </row>
    <row r="60" spans="4:13" x14ac:dyDescent="0.4">
      <c r="D60" t="s">
        <v>168</v>
      </c>
      <c r="E60" s="70">
        <v>43752</v>
      </c>
      <c r="F60" t="s">
        <v>1</v>
      </c>
      <c r="G60" t="s">
        <v>171</v>
      </c>
      <c r="H60" t="s">
        <v>44</v>
      </c>
      <c r="I60" t="s">
        <v>159</v>
      </c>
      <c r="J60" t="s">
        <v>14</v>
      </c>
      <c r="K60" t="s">
        <v>120</v>
      </c>
      <c r="L60" t="s">
        <v>169</v>
      </c>
      <c r="M60" t="s">
        <v>66</v>
      </c>
    </row>
    <row r="61" spans="4:13" x14ac:dyDescent="0.4">
      <c r="D61" t="s">
        <v>168</v>
      </c>
      <c r="E61" s="70">
        <v>43752</v>
      </c>
      <c r="F61" t="s">
        <v>1</v>
      </c>
      <c r="G61" t="s">
        <v>173</v>
      </c>
      <c r="H61" t="s">
        <v>44</v>
      </c>
      <c r="I61" t="s">
        <v>146</v>
      </c>
      <c r="J61" t="s">
        <v>72</v>
      </c>
      <c r="K61" t="s">
        <v>121</v>
      </c>
      <c r="L61" t="s">
        <v>169</v>
      </c>
      <c r="M61" t="s">
        <v>46</v>
      </c>
    </row>
    <row r="62" spans="4:13" x14ac:dyDescent="0.4">
      <c r="D62" t="s">
        <v>168</v>
      </c>
      <c r="E62" s="70">
        <v>43749</v>
      </c>
      <c r="F62" t="s">
        <v>3</v>
      </c>
      <c r="G62" t="s">
        <v>172</v>
      </c>
      <c r="H62" t="s">
        <v>44</v>
      </c>
      <c r="I62" t="s">
        <v>148</v>
      </c>
      <c r="J62" t="s">
        <v>14</v>
      </c>
      <c r="K62" t="s">
        <v>120</v>
      </c>
      <c r="L62" t="s">
        <v>169</v>
      </c>
      <c r="M62" t="s">
        <v>45</v>
      </c>
    </row>
    <row r="63" spans="4:13" x14ac:dyDescent="0.4">
      <c r="D63" t="s">
        <v>168</v>
      </c>
      <c r="E63" s="70">
        <v>43748</v>
      </c>
      <c r="F63" t="s">
        <v>24</v>
      </c>
      <c r="G63" t="s">
        <v>171</v>
      </c>
      <c r="H63" t="s">
        <v>44</v>
      </c>
      <c r="I63" t="s">
        <v>160</v>
      </c>
      <c r="J63" t="s">
        <v>14</v>
      </c>
      <c r="K63" t="s">
        <v>120</v>
      </c>
      <c r="L63" t="s">
        <v>169</v>
      </c>
      <c r="M63" t="s">
        <v>40</v>
      </c>
    </row>
    <row r="64" spans="4:13" x14ac:dyDescent="0.4">
      <c r="D64" t="s">
        <v>168</v>
      </c>
      <c r="E64" s="70">
        <v>43747</v>
      </c>
      <c r="F64" t="s">
        <v>2</v>
      </c>
      <c r="G64" t="s">
        <v>177</v>
      </c>
      <c r="H64" t="s">
        <v>44</v>
      </c>
      <c r="I64" t="s">
        <v>160</v>
      </c>
      <c r="J64" t="s">
        <v>72</v>
      </c>
      <c r="K64" t="s">
        <v>121</v>
      </c>
      <c r="L64" t="s">
        <v>169</v>
      </c>
      <c r="M64" t="s">
        <v>108</v>
      </c>
    </row>
    <row r="65" spans="4:13" x14ac:dyDescent="0.4">
      <c r="D65" t="s">
        <v>168</v>
      </c>
      <c r="E65" s="70">
        <v>43746</v>
      </c>
      <c r="F65" t="s">
        <v>21</v>
      </c>
      <c r="G65" t="s">
        <v>170</v>
      </c>
      <c r="H65" t="s">
        <v>44</v>
      </c>
      <c r="I65" t="s">
        <v>153</v>
      </c>
      <c r="J65" t="s">
        <v>14</v>
      </c>
      <c r="K65" t="s">
        <v>120</v>
      </c>
      <c r="L65" t="s">
        <v>169</v>
      </c>
      <c r="M65" t="s">
        <v>36</v>
      </c>
    </row>
    <row r="66" spans="4:13" x14ac:dyDescent="0.4">
      <c r="D66" t="s">
        <v>168</v>
      </c>
      <c r="E66" s="70">
        <v>43746</v>
      </c>
      <c r="F66" t="s">
        <v>21</v>
      </c>
      <c r="G66" t="s">
        <v>176</v>
      </c>
      <c r="H66" t="s">
        <v>44</v>
      </c>
      <c r="I66" t="s">
        <v>162</v>
      </c>
      <c r="J66" t="s">
        <v>68</v>
      </c>
      <c r="K66" t="s">
        <v>69</v>
      </c>
      <c r="L66" t="s">
        <v>169</v>
      </c>
      <c r="M66" t="s">
        <v>73</v>
      </c>
    </row>
    <row r="67" spans="4:13" x14ac:dyDescent="0.4">
      <c r="D67" t="s">
        <v>168</v>
      </c>
      <c r="E67" s="70">
        <v>43742</v>
      </c>
      <c r="F67" t="s">
        <v>3</v>
      </c>
      <c r="G67" t="s">
        <v>170</v>
      </c>
      <c r="H67" t="s">
        <v>44</v>
      </c>
      <c r="I67" t="s">
        <v>148</v>
      </c>
      <c r="J67" t="s">
        <v>72</v>
      </c>
      <c r="K67" t="s">
        <v>121</v>
      </c>
      <c r="L67" t="s">
        <v>169</v>
      </c>
      <c r="M67" t="s">
        <v>35</v>
      </c>
    </row>
    <row r="68" spans="4:13" x14ac:dyDescent="0.4">
      <c r="D68" t="s">
        <v>168</v>
      </c>
      <c r="E68" s="70">
        <v>43739</v>
      </c>
      <c r="F68" t="s">
        <v>21</v>
      </c>
      <c r="G68" t="s">
        <v>173</v>
      </c>
      <c r="H68" t="s">
        <v>44</v>
      </c>
      <c r="I68" t="s">
        <v>158</v>
      </c>
      <c r="J68" t="s">
        <v>72</v>
      </c>
      <c r="K68" t="s">
        <v>121</v>
      </c>
      <c r="L68" t="s">
        <v>169</v>
      </c>
      <c r="M68" t="s">
        <v>52</v>
      </c>
    </row>
    <row r="69" spans="4:13" x14ac:dyDescent="0.4">
      <c r="D69" t="s">
        <v>168</v>
      </c>
      <c r="E69" s="70">
        <v>43733</v>
      </c>
      <c r="F69" t="s">
        <v>2</v>
      </c>
      <c r="G69" t="s">
        <v>175</v>
      </c>
      <c r="H69" t="s">
        <v>44</v>
      </c>
      <c r="I69" t="s">
        <v>153</v>
      </c>
      <c r="J69" t="s">
        <v>71</v>
      </c>
      <c r="K69" t="s">
        <v>119</v>
      </c>
      <c r="L69" t="s">
        <v>169</v>
      </c>
      <c r="M69" t="s">
        <v>39</v>
      </c>
    </row>
    <row r="70" spans="4:13" x14ac:dyDescent="0.4">
      <c r="D70" t="s">
        <v>168</v>
      </c>
      <c r="E70" s="70">
        <v>43732</v>
      </c>
      <c r="F70" t="s">
        <v>21</v>
      </c>
      <c r="G70" t="s">
        <v>170</v>
      </c>
      <c r="H70" t="s">
        <v>44</v>
      </c>
      <c r="I70" t="s">
        <v>148</v>
      </c>
      <c r="J70" t="s">
        <v>14</v>
      </c>
      <c r="K70" t="s">
        <v>120</v>
      </c>
      <c r="L70" t="s">
        <v>169</v>
      </c>
      <c r="M70" t="s">
        <v>65</v>
      </c>
    </row>
    <row r="71" spans="4:13" x14ac:dyDescent="0.4">
      <c r="D71" t="s">
        <v>168</v>
      </c>
      <c r="E71" s="70">
        <v>43731</v>
      </c>
      <c r="F71" t="s">
        <v>1</v>
      </c>
      <c r="G71" t="s">
        <v>170</v>
      </c>
      <c r="H71" t="s">
        <v>44</v>
      </c>
      <c r="I71" t="s">
        <v>160</v>
      </c>
      <c r="J71" t="s">
        <v>14</v>
      </c>
      <c r="K71" t="s">
        <v>120</v>
      </c>
      <c r="L71" t="s">
        <v>169</v>
      </c>
      <c r="M71" t="s">
        <v>97</v>
      </c>
    </row>
    <row r="72" spans="4:13" x14ac:dyDescent="0.4">
      <c r="D72" t="s">
        <v>168</v>
      </c>
      <c r="E72" s="70">
        <v>43731</v>
      </c>
      <c r="F72" t="s">
        <v>1</v>
      </c>
      <c r="G72" t="s">
        <v>174</v>
      </c>
      <c r="H72" t="s">
        <v>44</v>
      </c>
      <c r="I72" t="s">
        <v>146</v>
      </c>
      <c r="J72" t="s">
        <v>14</v>
      </c>
      <c r="K72" t="s">
        <v>120</v>
      </c>
      <c r="L72" t="s">
        <v>169</v>
      </c>
      <c r="M72" t="s">
        <v>50</v>
      </c>
    </row>
    <row r="73" spans="4:13" x14ac:dyDescent="0.4">
      <c r="D73" t="s">
        <v>168</v>
      </c>
      <c r="E73" s="70">
        <v>43728</v>
      </c>
      <c r="F73" t="s">
        <v>3</v>
      </c>
      <c r="G73" t="s">
        <v>172</v>
      </c>
      <c r="H73" t="s">
        <v>44</v>
      </c>
      <c r="I73" t="s">
        <v>160</v>
      </c>
      <c r="J73" t="s">
        <v>71</v>
      </c>
      <c r="K73" t="s">
        <v>119</v>
      </c>
      <c r="L73" t="s">
        <v>169</v>
      </c>
      <c r="M73" t="s">
        <v>49</v>
      </c>
    </row>
    <row r="74" spans="4:13" x14ac:dyDescent="0.4">
      <c r="D74" t="s">
        <v>168</v>
      </c>
      <c r="E74" s="70">
        <v>43727</v>
      </c>
      <c r="F74" t="s">
        <v>24</v>
      </c>
      <c r="G74" t="s">
        <v>175</v>
      </c>
      <c r="H74" t="s">
        <v>44</v>
      </c>
      <c r="I74" t="s">
        <v>160</v>
      </c>
      <c r="J74" t="s">
        <v>71</v>
      </c>
      <c r="K74" t="s">
        <v>119</v>
      </c>
      <c r="L74" t="s">
        <v>169</v>
      </c>
      <c r="M74" t="s">
        <v>38</v>
      </c>
    </row>
    <row r="75" spans="4:13" x14ac:dyDescent="0.4">
      <c r="D75" t="s">
        <v>168</v>
      </c>
      <c r="E75" s="70">
        <v>43726</v>
      </c>
      <c r="F75" t="s">
        <v>2</v>
      </c>
      <c r="G75" t="s">
        <v>174</v>
      </c>
      <c r="H75" t="s">
        <v>44</v>
      </c>
      <c r="I75" t="s">
        <v>146</v>
      </c>
      <c r="J75" t="s">
        <v>14</v>
      </c>
      <c r="K75" t="s">
        <v>120</v>
      </c>
      <c r="L75" t="s">
        <v>169</v>
      </c>
      <c r="M75" t="s">
        <v>48</v>
      </c>
    </row>
    <row r="76" spans="4:13" x14ac:dyDescent="0.4">
      <c r="D76" t="s">
        <v>168</v>
      </c>
      <c r="E76" s="70">
        <v>43724</v>
      </c>
      <c r="F76" t="s">
        <v>1</v>
      </c>
      <c r="G76" t="s">
        <v>170</v>
      </c>
      <c r="H76" t="s">
        <v>44</v>
      </c>
      <c r="I76" t="s">
        <v>146</v>
      </c>
      <c r="J76" t="s">
        <v>14</v>
      </c>
      <c r="K76" t="s">
        <v>120</v>
      </c>
      <c r="L76" t="s">
        <v>169</v>
      </c>
      <c r="M76" t="s">
        <v>86</v>
      </c>
    </row>
    <row r="77" spans="4:13" x14ac:dyDescent="0.4">
      <c r="D77" t="s">
        <v>168</v>
      </c>
      <c r="E77" s="70">
        <v>43724</v>
      </c>
      <c r="F77" t="s">
        <v>1</v>
      </c>
      <c r="G77" t="s">
        <v>173</v>
      </c>
      <c r="H77" t="s">
        <v>44</v>
      </c>
      <c r="I77" t="s">
        <v>146</v>
      </c>
      <c r="J77" t="s">
        <v>14</v>
      </c>
      <c r="K77" t="s">
        <v>120</v>
      </c>
      <c r="L77" t="s">
        <v>169</v>
      </c>
      <c r="M77" t="s">
        <v>46</v>
      </c>
    </row>
    <row r="78" spans="4:13" x14ac:dyDescent="0.4">
      <c r="D78" t="s">
        <v>168</v>
      </c>
      <c r="E78" s="70">
        <v>43724</v>
      </c>
      <c r="F78" t="s">
        <v>1</v>
      </c>
      <c r="G78" t="s">
        <v>174</v>
      </c>
      <c r="H78" t="s">
        <v>44</v>
      </c>
      <c r="I78" t="s">
        <v>158</v>
      </c>
      <c r="J78" t="s">
        <v>14</v>
      </c>
      <c r="K78" t="s">
        <v>120</v>
      </c>
      <c r="L78" t="s">
        <v>169</v>
      </c>
      <c r="M78" t="s">
        <v>47</v>
      </c>
    </row>
    <row r="79" spans="4:13" x14ac:dyDescent="0.4">
      <c r="D79" t="s">
        <v>168</v>
      </c>
      <c r="E79" s="70">
        <v>43721</v>
      </c>
      <c r="F79" t="s">
        <v>3</v>
      </c>
      <c r="G79" t="s">
        <v>171</v>
      </c>
      <c r="H79" t="s">
        <v>44</v>
      </c>
      <c r="I79" t="s">
        <v>159</v>
      </c>
      <c r="J79" t="s">
        <v>71</v>
      </c>
      <c r="K79" t="s">
        <v>119</v>
      </c>
      <c r="L79" t="s">
        <v>169</v>
      </c>
      <c r="M79" t="s">
        <v>66</v>
      </c>
    </row>
    <row r="80" spans="4:13" x14ac:dyDescent="0.4">
      <c r="D80" t="s">
        <v>168</v>
      </c>
      <c r="E80" s="70">
        <v>43720</v>
      </c>
      <c r="F80" t="s">
        <v>24</v>
      </c>
      <c r="G80" t="s">
        <v>170</v>
      </c>
      <c r="H80" t="s">
        <v>44</v>
      </c>
      <c r="I80" t="s">
        <v>148</v>
      </c>
      <c r="J80" t="s">
        <v>14</v>
      </c>
      <c r="K80" t="s">
        <v>120</v>
      </c>
      <c r="L80" t="s">
        <v>169</v>
      </c>
      <c r="M80" t="s">
        <v>37</v>
      </c>
    </row>
    <row r="81" spans="4:13" x14ac:dyDescent="0.4">
      <c r="D81" t="s">
        <v>168</v>
      </c>
      <c r="E81" s="70">
        <v>43719</v>
      </c>
      <c r="F81" t="s">
        <v>2</v>
      </c>
      <c r="G81" t="s">
        <v>172</v>
      </c>
      <c r="H81" t="s">
        <v>44</v>
      </c>
      <c r="I81" t="s">
        <v>148</v>
      </c>
      <c r="J81" t="s">
        <v>71</v>
      </c>
      <c r="K81" t="s">
        <v>119</v>
      </c>
      <c r="L81" t="s">
        <v>169</v>
      </c>
      <c r="M81" t="s">
        <v>45</v>
      </c>
    </row>
    <row r="82" spans="4:13" x14ac:dyDescent="0.4">
      <c r="D82" t="s">
        <v>168</v>
      </c>
      <c r="E82" s="70">
        <v>43718</v>
      </c>
      <c r="F82" t="s">
        <v>21</v>
      </c>
      <c r="G82" t="s">
        <v>171</v>
      </c>
      <c r="H82" t="s">
        <v>44</v>
      </c>
      <c r="I82" t="s">
        <v>160</v>
      </c>
      <c r="J82" t="s">
        <v>71</v>
      </c>
      <c r="K82" t="s">
        <v>119</v>
      </c>
      <c r="L82" t="s">
        <v>169</v>
      </c>
      <c r="M82" t="s">
        <v>40</v>
      </c>
    </row>
    <row r="83" spans="4:13" x14ac:dyDescent="0.4">
      <c r="D83" t="s">
        <v>168</v>
      </c>
      <c r="E83" s="70">
        <v>43717</v>
      </c>
      <c r="F83" t="s">
        <v>1</v>
      </c>
      <c r="G83" t="s">
        <v>176</v>
      </c>
      <c r="H83" t="s">
        <v>44</v>
      </c>
      <c r="I83" t="s">
        <v>162</v>
      </c>
      <c r="J83" t="s">
        <v>68</v>
      </c>
      <c r="K83" t="s">
        <v>69</v>
      </c>
      <c r="L83" t="s">
        <v>169</v>
      </c>
      <c r="M83" t="s">
        <v>73</v>
      </c>
    </row>
    <row r="84" spans="4:13" x14ac:dyDescent="0.4">
      <c r="D84" t="s">
        <v>168</v>
      </c>
      <c r="E84" s="70">
        <v>43717</v>
      </c>
      <c r="F84" t="s">
        <v>1</v>
      </c>
      <c r="G84" t="s">
        <v>177</v>
      </c>
      <c r="H84" t="s">
        <v>44</v>
      </c>
      <c r="I84" t="s">
        <v>160</v>
      </c>
      <c r="J84" t="s">
        <v>14</v>
      </c>
      <c r="K84" t="s">
        <v>120</v>
      </c>
      <c r="L84" t="s">
        <v>169</v>
      </c>
      <c r="M84" t="s">
        <v>108</v>
      </c>
    </row>
    <row r="85" spans="4:13" x14ac:dyDescent="0.4">
      <c r="D85" t="s">
        <v>168</v>
      </c>
      <c r="E85" s="70">
        <v>43714</v>
      </c>
      <c r="F85" t="s">
        <v>3</v>
      </c>
      <c r="G85" t="s">
        <v>170</v>
      </c>
      <c r="H85" t="s">
        <v>44</v>
      </c>
      <c r="I85" t="s">
        <v>148</v>
      </c>
      <c r="J85" t="s">
        <v>14</v>
      </c>
      <c r="K85" t="s">
        <v>120</v>
      </c>
      <c r="L85" t="s">
        <v>169</v>
      </c>
      <c r="M85" t="s">
        <v>35</v>
      </c>
    </row>
    <row r="86" spans="4:13" x14ac:dyDescent="0.4">
      <c r="D86" t="s">
        <v>168</v>
      </c>
      <c r="E86" s="70">
        <v>43711</v>
      </c>
      <c r="F86" t="s">
        <v>21</v>
      </c>
      <c r="G86" t="s">
        <v>170</v>
      </c>
      <c r="H86" t="s">
        <v>44</v>
      </c>
      <c r="I86" t="s">
        <v>153</v>
      </c>
      <c r="J86" t="s">
        <v>71</v>
      </c>
      <c r="K86" t="s">
        <v>119</v>
      </c>
      <c r="L86" t="s">
        <v>169</v>
      </c>
      <c r="M86" t="s">
        <v>36</v>
      </c>
    </row>
    <row r="87" spans="4:13" x14ac:dyDescent="0.4">
      <c r="D87" t="s">
        <v>168</v>
      </c>
      <c r="E87" s="70">
        <v>43710</v>
      </c>
      <c r="F87" t="s">
        <v>1</v>
      </c>
      <c r="G87" t="s">
        <v>173</v>
      </c>
      <c r="H87" t="s">
        <v>44</v>
      </c>
      <c r="I87" t="s">
        <v>158</v>
      </c>
      <c r="J87" t="s">
        <v>14</v>
      </c>
      <c r="K87" t="s">
        <v>120</v>
      </c>
      <c r="L87" t="s">
        <v>169</v>
      </c>
      <c r="M87" t="s">
        <v>52</v>
      </c>
    </row>
    <row r="88" spans="4:13" x14ac:dyDescent="0.4">
      <c r="D88" t="s">
        <v>168</v>
      </c>
      <c r="E88" s="70">
        <v>43704</v>
      </c>
      <c r="F88" t="s">
        <v>21</v>
      </c>
      <c r="G88" t="s">
        <v>170</v>
      </c>
      <c r="H88" t="s">
        <v>44</v>
      </c>
      <c r="I88" t="s">
        <v>148</v>
      </c>
      <c r="J88" t="s">
        <v>71</v>
      </c>
      <c r="K88" t="s">
        <v>119</v>
      </c>
      <c r="L88" t="s">
        <v>169</v>
      </c>
      <c r="M88" t="s">
        <v>65</v>
      </c>
    </row>
    <row r="89" spans="4:13" x14ac:dyDescent="0.4">
      <c r="D89" t="s">
        <v>168</v>
      </c>
      <c r="E89" s="70">
        <v>43703</v>
      </c>
      <c r="F89" t="s">
        <v>1</v>
      </c>
      <c r="G89" t="s">
        <v>175</v>
      </c>
      <c r="H89" t="s">
        <v>44</v>
      </c>
      <c r="I89" t="s">
        <v>153</v>
      </c>
      <c r="J89" t="s">
        <v>70</v>
      </c>
      <c r="K89" t="s">
        <v>118</v>
      </c>
      <c r="L89" t="s">
        <v>169</v>
      </c>
      <c r="M89" t="s">
        <v>39</v>
      </c>
    </row>
    <row r="90" spans="4:13" x14ac:dyDescent="0.4">
      <c r="D90" t="s">
        <v>168</v>
      </c>
      <c r="E90" s="70">
        <v>43699</v>
      </c>
      <c r="F90" t="s">
        <v>24</v>
      </c>
      <c r="G90" t="s">
        <v>170</v>
      </c>
      <c r="H90" t="s">
        <v>44</v>
      </c>
      <c r="I90" t="s">
        <v>160</v>
      </c>
      <c r="J90" t="s">
        <v>71</v>
      </c>
      <c r="K90" t="s">
        <v>119</v>
      </c>
      <c r="L90" t="s">
        <v>169</v>
      </c>
      <c r="M90" t="s">
        <v>97</v>
      </c>
    </row>
    <row r="91" spans="4:13" x14ac:dyDescent="0.4">
      <c r="D91" t="s">
        <v>168</v>
      </c>
      <c r="E91" s="70">
        <v>43698</v>
      </c>
      <c r="F91" t="s">
        <v>2</v>
      </c>
      <c r="G91" t="s">
        <v>174</v>
      </c>
      <c r="H91" t="s">
        <v>44</v>
      </c>
      <c r="I91" t="s">
        <v>146</v>
      </c>
      <c r="J91" t="s">
        <v>71</v>
      </c>
      <c r="K91" t="s">
        <v>119</v>
      </c>
      <c r="L91" t="s">
        <v>169</v>
      </c>
      <c r="M91" t="s">
        <v>50</v>
      </c>
    </row>
    <row r="92" spans="4:13" x14ac:dyDescent="0.4">
      <c r="D92" t="s">
        <v>168</v>
      </c>
      <c r="E92" s="70">
        <v>43697</v>
      </c>
      <c r="F92" t="s">
        <v>21</v>
      </c>
      <c r="G92" t="s">
        <v>172</v>
      </c>
      <c r="H92" t="s">
        <v>44</v>
      </c>
      <c r="I92" t="s">
        <v>160</v>
      </c>
      <c r="J92" t="s">
        <v>70</v>
      </c>
      <c r="K92" t="s">
        <v>118</v>
      </c>
      <c r="L92" t="s">
        <v>169</v>
      </c>
      <c r="M92" t="s">
        <v>49</v>
      </c>
    </row>
    <row r="93" spans="4:13" x14ac:dyDescent="0.4">
      <c r="D93" t="s">
        <v>168</v>
      </c>
      <c r="E93" s="70">
        <v>43696</v>
      </c>
      <c r="F93" t="s">
        <v>1</v>
      </c>
      <c r="G93" t="s">
        <v>174</v>
      </c>
      <c r="H93" t="s">
        <v>44</v>
      </c>
      <c r="I93" t="s">
        <v>146</v>
      </c>
      <c r="J93" t="s">
        <v>71</v>
      </c>
      <c r="K93" t="s">
        <v>119</v>
      </c>
      <c r="L93" t="s">
        <v>169</v>
      </c>
      <c r="M93" t="s">
        <v>48</v>
      </c>
    </row>
    <row r="94" spans="4:13" x14ac:dyDescent="0.4">
      <c r="D94" t="s">
        <v>168</v>
      </c>
      <c r="E94" s="70">
        <v>43696</v>
      </c>
      <c r="F94" t="s">
        <v>1</v>
      </c>
      <c r="G94" t="s">
        <v>175</v>
      </c>
      <c r="H94" t="s">
        <v>44</v>
      </c>
      <c r="I94" t="s">
        <v>160</v>
      </c>
      <c r="J94" t="s">
        <v>70</v>
      </c>
      <c r="K94" t="s">
        <v>118</v>
      </c>
      <c r="L94" t="s">
        <v>169</v>
      </c>
      <c r="M94" t="s">
        <v>38</v>
      </c>
    </row>
    <row r="95" spans="4:13" x14ac:dyDescent="0.4">
      <c r="D95" t="s">
        <v>168</v>
      </c>
      <c r="E95" s="70">
        <v>43693</v>
      </c>
      <c r="F95" t="s">
        <v>3</v>
      </c>
      <c r="G95" t="s">
        <v>174</v>
      </c>
      <c r="H95" t="s">
        <v>44</v>
      </c>
      <c r="I95" t="s">
        <v>158</v>
      </c>
      <c r="J95" t="s">
        <v>71</v>
      </c>
      <c r="K95" t="s">
        <v>119</v>
      </c>
      <c r="L95" t="s">
        <v>169</v>
      </c>
      <c r="M95" t="s">
        <v>47</v>
      </c>
    </row>
    <row r="96" spans="4:13" x14ac:dyDescent="0.4">
      <c r="D96" t="s">
        <v>168</v>
      </c>
      <c r="E96" s="70">
        <v>43692</v>
      </c>
      <c r="F96" t="s">
        <v>24</v>
      </c>
      <c r="G96" t="s">
        <v>170</v>
      </c>
      <c r="H96" t="s">
        <v>44</v>
      </c>
      <c r="I96" t="s">
        <v>146</v>
      </c>
      <c r="J96" t="s">
        <v>71</v>
      </c>
      <c r="K96" t="s">
        <v>119</v>
      </c>
      <c r="L96" t="s">
        <v>169</v>
      </c>
      <c r="M96" t="s">
        <v>86</v>
      </c>
    </row>
    <row r="97" spans="4:13" x14ac:dyDescent="0.4">
      <c r="D97" t="s">
        <v>168</v>
      </c>
      <c r="E97" s="70">
        <v>43691</v>
      </c>
      <c r="F97" t="s">
        <v>2</v>
      </c>
      <c r="G97" t="s">
        <v>173</v>
      </c>
      <c r="H97" t="s">
        <v>44</v>
      </c>
      <c r="I97" t="s">
        <v>146</v>
      </c>
      <c r="J97" t="s">
        <v>71</v>
      </c>
      <c r="K97" t="s">
        <v>119</v>
      </c>
      <c r="L97" t="s">
        <v>169</v>
      </c>
      <c r="M97" t="s">
        <v>46</v>
      </c>
    </row>
    <row r="98" spans="4:13" x14ac:dyDescent="0.4">
      <c r="D98" t="s">
        <v>168</v>
      </c>
      <c r="E98" s="70">
        <v>43690</v>
      </c>
      <c r="F98" t="s">
        <v>21</v>
      </c>
      <c r="G98" t="s">
        <v>171</v>
      </c>
      <c r="H98" t="s">
        <v>44</v>
      </c>
      <c r="I98" t="s">
        <v>159</v>
      </c>
      <c r="J98" t="s">
        <v>70</v>
      </c>
      <c r="K98" t="s">
        <v>118</v>
      </c>
      <c r="L98" t="s">
        <v>169</v>
      </c>
      <c r="M98" t="s">
        <v>66</v>
      </c>
    </row>
    <row r="99" spans="4:13" x14ac:dyDescent="0.4">
      <c r="D99" t="s">
        <v>168</v>
      </c>
      <c r="E99" s="70">
        <v>43689</v>
      </c>
      <c r="F99" t="s">
        <v>1</v>
      </c>
      <c r="G99" t="s">
        <v>170</v>
      </c>
      <c r="H99" t="s">
        <v>44</v>
      </c>
      <c r="I99" t="s">
        <v>148</v>
      </c>
      <c r="J99" t="s">
        <v>71</v>
      </c>
      <c r="K99" t="s">
        <v>119</v>
      </c>
      <c r="L99" t="s">
        <v>169</v>
      </c>
      <c r="M99" t="s">
        <v>37</v>
      </c>
    </row>
    <row r="100" spans="4:13" x14ac:dyDescent="0.4">
      <c r="D100" t="s">
        <v>168</v>
      </c>
      <c r="E100" s="70">
        <v>43689</v>
      </c>
      <c r="F100" t="s">
        <v>1</v>
      </c>
      <c r="G100" t="s">
        <v>171</v>
      </c>
      <c r="H100" t="s">
        <v>44</v>
      </c>
      <c r="I100" t="s">
        <v>160</v>
      </c>
      <c r="J100" t="s">
        <v>70</v>
      </c>
      <c r="K100" t="s">
        <v>118</v>
      </c>
      <c r="L100" t="s">
        <v>169</v>
      </c>
      <c r="M100" t="s">
        <v>40</v>
      </c>
    </row>
    <row r="101" spans="4:13" x14ac:dyDescent="0.4">
      <c r="D101" t="s">
        <v>168</v>
      </c>
      <c r="E101" s="70">
        <v>43689</v>
      </c>
      <c r="F101" t="s">
        <v>1</v>
      </c>
      <c r="G101" t="s">
        <v>172</v>
      </c>
      <c r="H101" t="s">
        <v>44</v>
      </c>
      <c r="I101" t="s">
        <v>148</v>
      </c>
      <c r="J101" t="s">
        <v>70</v>
      </c>
      <c r="K101" t="s">
        <v>118</v>
      </c>
      <c r="L101" t="s">
        <v>169</v>
      </c>
      <c r="M101" t="s">
        <v>45</v>
      </c>
    </row>
    <row r="102" spans="4:13" x14ac:dyDescent="0.4">
      <c r="D102" t="s">
        <v>168</v>
      </c>
      <c r="E102" s="70">
        <v>43686</v>
      </c>
      <c r="F102" t="s">
        <v>3</v>
      </c>
      <c r="G102" t="s">
        <v>177</v>
      </c>
      <c r="H102" t="s">
        <v>44</v>
      </c>
      <c r="I102" t="s">
        <v>160</v>
      </c>
      <c r="J102" t="s">
        <v>71</v>
      </c>
      <c r="K102" t="s">
        <v>119</v>
      </c>
      <c r="L102" t="s">
        <v>169</v>
      </c>
      <c r="M102" t="s">
        <v>108</v>
      </c>
    </row>
    <row r="103" spans="4:13" x14ac:dyDescent="0.4">
      <c r="D103" t="s">
        <v>168</v>
      </c>
      <c r="E103" s="70">
        <v>43685</v>
      </c>
      <c r="F103" t="s">
        <v>24</v>
      </c>
      <c r="G103" t="s">
        <v>176</v>
      </c>
      <c r="H103" t="s">
        <v>44</v>
      </c>
      <c r="I103" t="s">
        <v>162</v>
      </c>
      <c r="J103" t="s">
        <v>68</v>
      </c>
      <c r="K103" t="s">
        <v>69</v>
      </c>
      <c r="L103" t="s">
        <v>169</v>
      </c>
      <c r="M103" t="s">
        <v>73</v>
      </c>
    </row>
    <row r="104" spans="4:13" x14ac:dyDescent="0.4">
      <c r="D104" t="s">
        <v>168</v>
      </c>
      <c r="E104" s="70">
        <v>43683</v>
      </c>
      <c r="F104" t="s">
        <v>21</v>
      </c>
      <c r="G104" t="s">
        <v>170</v>
      </c>
      <c r="H104" t="s">
        <v>44</v>
      </c>
      <c r="I104" t="s">
        <v>153</v>
      </c>
      <c r="J104" t="s">
        <v>70</v>
      </c>
      <c r="K104" t="s">
        <v>118</v>
      </c>
      <c r="L104" t="s">
        <v>169</v>
      </c>
      <c r="M104" t="s">
        <v>36</v>
      </c>
    </row>
    <row r="105" spans="4:13" x14ac:dyDescent="0.4">
      <c r="D105" t="s">
        <v>168</v>
      </c>
      <c r="E105" s="70">
        <v>43679</v>
      </c>
      <c r="F105" t="s">
        <v>3</v>
      </c>
      <c r="G105" t="s">
        <v>170</v>
      </c>
      <c r="H105" t="s">
        <v>44</v>
      </c>
      <c r="I105" t="s">
        <v>148</v>
      </c>
      <c r="J105" t="s">
        <v>71</v>
      </c>
      <c r="K105" t="s">
        <v>119</v>
      </c>
      <c r="L105" t="s">
        <v>169</v>
      </c>
      <c r="M105" t="s">
        <v>35</v>
      </c>
    </row>
    <row r="106" spans="4:13" x14ac:dyDescent="0.4">
      <c r="D106" t="s">
        <v>168</v>
      </c>
      <c r="E106" s="70">
        <v>43678</v>
      </c>
      <c r="F106" t="s">
        <v>24</v>
      </c>
      <c r="G106" t="s">
        <v>173</v>
      </c>
      <c r="H106" t="s">
        <v>44</v>
      </c>
      <c r="I106" t="s">
        <v>158</v>
      </c>
      <c r="J106" t="s">
        <v>71</v>
      </c>
      <c r="K106" t="s">
        <v>119</v>
      </c>
      <c r="L106" t="s">
        <v>169</v>
      </c>
      <c r="M106" t="s">
        <v>52</v>
      </c>
    </row>
    <row r="107" spans="4:13" x14ac:dyDescent="0.4">
      <c r="D107" t="s">
        <v>168</v>
      </c>
      <c r="E107" s="70">
        <v>43676</v>
      </c>
      <c r="F107" t="s">
        <v>21</v>
      </c>
      <c r="G107" t="s">
        <v>170</v>
      </c>
      <c r="H107" t="s">
        <v>44</v>
      </c>
      <c r="I107" t="s">
        <v>148</v>
      </c>
      <c r="J107" t="s">
        <v>70</v>
      </c>
      <c r="K107" t="s">
        <v>118</v>
      </c>
      <c r="L107" t="s">
        <v>169</v>
      </c>
      <c r="M107" t="s">
        <v>65</v>
      </c>
    </row>
    <row r="108" spans="4:13" x14ac:dyDescent="0.4">
      <c r="D108" t="s">
        <v>168</v>
      </c>
      <c r="E108" s="70">
        <v>43671</v>
      </c>
      <c r="F108" t="s">
        <v>24</v>
      </c>
      <c r="G108" t="s">
        <v>175</v>
      </c>
      <c r="H108" t="s">
        <v>44</v>
      </c>
      <c r="I108" t="s">
        <v>153</v>
      </c>
      <c r="J108" t="s">
        <v>13</v>
      </c>
      <c r="K108" t="s">
        <v>117</v>
      </c>
      <c r="L108" t="s">
        <v>169</v>
      </c>
      <c r="M108" t="s">
        <v>39</v>
      </c>
    </row>
    <row r="109" spans="4:13" x14ac:dyDescent="0.4">
      <c r="D109" t="s">
        <v>168</v>
      </c>
      <c r="E109" s="70">
        <v>43668</v>
      </c>
      <c r="F109" t="s">
        <v>1</v>
      </c>
      <c r="G109" t="s">
        <v>170</v>
      </c>
      <c r="H109" t="s">
        <v>44</v>
      </c>
      <c r="I109" t="s">
        <v>160</v>
      </c>
      <c r="J109" t="s">
        <v>70</v>
      </c>
      <c r="K109" t="s">
        <v>118</v>
      </c>
      <c r="L109" t="s">
        <v>169</v>
      </c>
      <c r="M109" t="s">
        <v>97</v>
      </c>
    </row>
    <row r="110" spans="4:13" x14ac:dyDescent="0.4">
      <c r="D110" t="s">
        <v>168</v>
      </c>
      <c r="E110" s="70">
        <v>43668</v>
      </c>
      <c r="F110" t="s">
        <v>1</v>
      </c>
      <c r="G110" t="s">
        <v>172</v>
      </c>
      <c r="H110" t="s">
        <v>44</v>
      </c>
      <c r="I110" t="s">
        <v>160</v>
      </c>
      <c r="J110" t="s">
        <v>13</v>
      </c>
      <c r="K110" t="s">
        <v>117</v>
      </c>
      <c r="L110" t="s">
        <v>169</v>
      </c>
      <c r="M110" t="s">
        <v>49</v>
      </c>
    </row>
    <row r="111" spans="4:13" x14ac:dyDescent="0.4">
      <c r="D111" t="s">
        <v>168</v>
      </c>
      <c r="E111" s="70">
        <v>43668</v>
      </c>
      <c r="F111" t="s">
        <v>1</v>
      </c>
      <c r="G111" t="s">
        <v>174</v>
      </c>
      <c r="H111" t="s">
        <v>44</v>
      </c>
      <c r="I111" t="s">
        <v>146</v>
      </c>
      <c r="J111" t="s">
        <v>70</v>
      </c>
      <c r="K111" t="s">
        <v>118</v>
      </c>
      <c r="L111" t="s">
        <v>169</v>
      </c>
      <c r="M111" t="s">
        <v>50</v>
      </c>
    </row>
    <row r="112" spans="4:13" x14ac:dyDescent="0.4">
      <c r="D112" t="s">
        <v>168</v>
      </c>
      <c r="E112" s="70">
        <v>43665</v>
      </c>
      <c r="F112" t="s">
        <v>3</v>
      </c>
      <c r="G112" t="s">
        <v>175</v>
      </c>
      <c r="H112" t="s">
        <v>44</v>
      </c>
      <c r="I112" t="s">
        <v>160</v>
      </c>
      <c r="J112" t="s">
        <v>13</v>
      </c>
      <c r="K112" t="s">
        <v>117</v>
      </c>
      <c r="L112" t="s">
        <v>169</v>
      </c>
      <c r="M112" t="s">
        <v>38</v>
      </c>
    </row>
    <row r="113" spans="4:13" x14ac:dyDescent="0.4">
      <c r="D113" t="s">
        <v>168</v>
      </c>
      <c r="E113" s="70">
        <v>43664</v>
      </c>
      <c r="F113" t="s">
        <v>24</v>
      </c>
      <c r="G113" t="s">
        <v>174</v>
      </c>
      <c r="H113" t="s">
        <v>44</v>
      </c>
      <c r="I113" t="s">
        <v>146</v>
      </c>
      <c r="J113" t="s">
        <v>70</v>
      </c>
      <c r="K113" t="s">
        <v>118</v>
      </c>
      <c r="L113" t="s">
        <v>169</v>
      </c>
      <c r="M113" t="s">
        <v>48</v>
      </c>
    </row>
    <row r="114" spans="4:13" x14ac:dyDescent="0.4">
      <c r="D114" t="s">
        <v>168</v>
      </c>
      <c r="E114" s="70">
        <v>43662</v>
      </c>
      <c r="F114" t="s">
        <v>21</v>
      </c>
      <c r="G114" t="s">
        <v>174</v>
      </c>
      <c r="H114" t="s">
        <v>44</v>
      </c>
      <c r="I114" t="s">
        <v>158</v>
      </c>
      <c r="J114" t="s">
        <v>70</v>
      </c>
      <c r="K114" t="s">
        <v>118</v>
      </c>
      <c r="L114" t="s">
        <v>169</v>
      </c>
      <c r="M114" t="s">
        <v>47</v>
      </c>
    </row>
    <row r="115" spans="4:13" x14ac:dyDescent="0.4">
      <c r="D115" t="s">
        <v>168</v>
      </c>
      <c r="E115" s="70">
        <v>43661</v>
      </c>
      <c r="F115" t="s">
        <v>1</v>
      </c>
      <c r="G115" t="s">
        <v>170</v>
      </c>
      <c r="H115" t="s">
        <v>44</v>
      </c>
      <c r="I115" t="s">
        <v>146</v>
      </c>
      <c r="J115" t="s">
        <v>70</v>
      </c>
      <c r="K115" t="s">
        <v>118</v>
      </c>
      <c r="L115" t="s">
        <v>169</v>
      </c>
      <c r="M115" t="s">
        <v>86</v>
      </c>
    </row>
    <row r="116" spans="4:13" x14ac:dyDescent="0.4">
      <c r="D116" t="s">
        <v>168</v>
      </c>
      <c r="E116" s="70">
        <v>43661</v>
      </c>
      <c r="F116" t="s">
        <v>1</v>
      </c>
      <c r="G116" t="s">
        <v>171</v>
      </c>
      <c r="H116" t="s">
        <v>44</v>
      </c>
      <c r="I116" t="s">
        <v>159</v>
      </c>
      <c r="J116" t="s">
        <v>13</v>
      </c>
      <c r="K116" t="s">
        <v>117</v>
      </c>
      <c r="L116" t="s">
        <v>169</v>
      </c>
      <c r="M116" t="s">
        <v>66</v>
      </c>
    </row>
    <row r="117" spans="4:13" x14ac:dyDescent="0.4">
      <c r="D117" t="s">
        <v>168</v>
      </c>
      <c r="E117" s="70">
        <v>43661</v>
      </c>
      <c r="F117" t="s">
        <v>1</v>
      </c>
      <c r="G117" t="s">
        <v>173</v>
      </c>
      <c r="H117" t="s">
        <v>44</v>
      </c>
      <c r="I117" t="s">
        <v>146</v>
      </c>
      <c r="J117" t="s">
        <v>70</v>
      </c>
      <c r="K117" t="s">
        <v>118</v>
      </c>
      <c r="L117" t="s">
        <v>169</v>
      </c>
      <c r="M117" t="s">
        <v>46</v>
      </c>
    </row>
    <row r="118" spans="4:13" x14ac:dyDescent="0.4">
      <c r="D118" t="s">
        <v>168</v>
      </c>
      <c r="E118" s="70">
        <v>43658</v>
      </c>
      <c r="F118" t="s">
        <v>3</v>
      </c>
      <c r="G118" t="s">
        <v>170</v>
      </c>
      <c r="H118" t="s">
        <v>44</v>
      </c>
      <c r="I118" t="s">
        <v>148</v>
      </c>
      <c r="J118" t="s">
        <v>70</v>
      </c>
      <c r="K118" t="s">
        <v>118</v>
      </c>
      <c r="L118" t="s">
        <v>169</v>
      </c>
      <c r="M118" t="s">
        <v>37</v>
      </c>
    </row>
    <row r="119" spans="4:13" x14ac:dyDescent="0.4">
      <c r="D119" t="s">
        <v>168</v>
      </c>
      <c r="E119" s="70">
        <v>43657</v>
      </c>
      <c r="F119" t="s">
        <v>24</v>
      </c>
      <c r="G119" t="s">
        <v>172</v>
      </c>
      <c r="H119" t="s">
        <v>44</v>
      </c>
      <c r="I119" t="s">
        <v>148</v>
      </c>
      <c r="J119" t="s">
        <v>13</v>
      </c>
      <c r="K119" t="s">
        <v>117</v>
      </c>
      <c r="L119" t="s">
        <v>169</v>
      </c>
      <c r="M119" t="s">
        <v>45</v>
      </c>
    </row>
    <row r="120" spans="4:13" x14ac:dyDescent="0.4">
      <c r="D120" t="s">
        <v>168</v>
      </c>
      <c r="E120" s="70">
        <v>43656</v>
      </c>
      <c r="F120" t="s">
        <v>2</v>
      </c>
      <c r="G120" t="s">
        <v>171</v>
      </c>
      <c r="H120" t="s">
        <v>44</v>
      </c>
      <c r="I120" t="s">
        <v>160</v>
      </c>
      <c r="J120" t="s">
        <v>13</v>
      </c>
      <c r="K120" t="s">
        <v>117</v>
      </c>
      <c r="L120" t="s">
        <v>169</v>
      </c>
      <c r="M120" t="s">
        <v>40</v>
      </c>
    </row>
    <row r="121" spans="4:13" x14ac:dyDescent="0.4">
      <c r="D121" t="s">
        <v>168</v>
      </c>
      <c r="E121" s="70">
        <v>43655</v>
      </c>
      <c r="F121" t="s">
        <v>21</v>
      </c>
      <c r="G121" t="s">
        <v>170</v>
      </c>
      <c r="H121" t="s">
        <v>44</v>
      </c>
      <c r="I121" t="s">
        <v>153</v>
      </c>
      <c r="J121" t="s">
        <v>13</v>
      </c>
      <c r="K121" t="s">
        <v>117</v>
      </c>
      <c r="L121" t="s">
        <v>169</v>
      </c>
      <c r="M121" t="s">
        <v>36</v>
      </c>
    </row>
    <row r="122" spans="4:13" x14ac:dyDescent="0.4">
      <c r="D122" t="s">
        <v>168</v>
      </c>
      <c r="E122" s="70">
        <v>43655</v>
      </c>
      <c r="F122" t="s">
        <v>21</v>
      </c>
      <c r="G122" t="s">
        <v>177</v>
      </c>
      <c r="H122" t="s">
        <v>44</v>
      </c>
      <c r="I122" t="s">
        <v>160</v>
      </c>
      <c r="J122" t="s">
        <v>70</v>
      </c>
      <c r="K122" t="s">
        <v>118</v>
      </c>
      <c r="L122" t="s">
        <v>169</v>
      </c>
      <c r="M122" t="s">
        <v>108</v>
      </c>
    </row>
    <row r="123" spans="4:13" x14ac:dyDescent="0.4">
      <c r="D123" t="s">
        <v>168</v>
      </c>
      <c r="E123" s="70">
        <v>43654</v>
      </c>
      <c r="F123" t="s">
        <v>1</v>
      </c>
      <c r="G123" t="s">
        <v>176</v>
      </c>
      <c r="H123" t="s">
        <v>44</v>
      </c>
      <c r="I123" t="s">
        <v>162</v>
      </c>
      <c r="J123" t="s">
        <v>68</v>
      </c>
      <c r="K123" t="s">
        <v>69</v>
      </c>
      <c r="L123" t="s">
        <v>169</v>
      </c>
      <c r="M123" t="s">
        <v>73</v>
      </c>
    </row>
    <row r="124" spans="4:13" x14ac:dyDescent="0.4">
      <c r="D124" t="s">
        <v>168</v>
      </c>
      <c r="E124" s="70">
        <v>43651</v>
      </c>
      <c r="F124" t="s">
        <v>3</v>
      </c>
      <c r="G124" t="s">
        <v>170</v>
      </c>
      <c r="H124" t="s">
        <v>44</v>
      </c>
      <c r="I124" t="s">
        <v>148</v>
      </c>
      <c r="J124" t="s">
        <v>70</v>
      </c>
      <c r="K124" t="s">
        <v>118</v>
      </c>
      <c r="L124" t="s">
        <v>169</v>
      </c>
      <c r="M124" t="s">
        <v>35</v>
      </c>
    </row>
    <row r="125" spans="4:13" x14ac:dyDescent="0.4">
      <c r="D125" t="s">
        <v>168</v>
      </c>
      <c r="E125" s="70">
        <v>43647</v>
      </c>
      <c r="F125" t="s">
        <v>1</v>
      </c>
      <c r="G125" t="s">
        <v>173</v>
      </c>
      <c r="H125" t="s">
        <v>44</v>
      </c>
      <c r="I125" t="s">
        <v>158</v>
      </c>
      <c r="J125" t="s">
        <v>70</v>
      </c>
      <c r="K125" t="s">
        <v>118</v>
      </c>
      <c r="L125" t="s">
        <v>169</v>
      </c>
      <c r="M125" t="s">
        <v>52</v>
      </c>
    </row>
    <row r="126" spans="4:13" x14ac:dyDescent="0.4">
      <c r="D126" t="s">
        <v>168</v>
      </c>
      <c r="E126" s="70">
        <v>43641</v>
      </c>
      <c r="F126" t="s">
        <v>21</v>
      </c>
      <c r="G126" t="s">
        <v>170</v>
      </c>
      <c r="H126" t="s">
        <v>44</v>
      </c>
      <c r="I126" t="s">
        <v>148</v>
      </c>
      <c r="J126" t="s">
        <v>13</v>
      </c>
      <c r="K126" t="s">
        <v>117</v>
      </c>
      <c r="L126" t="s">
        <v>169</v>
      </c>
      <c r="M126" t="s">
        <v>65</v>
      </c>
    </row>
    <row r="127" spans="4:13" x14ac:dyDescent="0.4">
      <c r="D127" t="s">
        <v>168</v>
      </c>
      <c r="E127" s="70">
        <v>43641</v>
      </c>
      <c r="F127" t="s">
        <v>21</v>
      </c>
      <c r="G127" t="s">
        <v>175</v>
      </c>
      <c r="H127" t="s">
        <v>44</v>
      </c>
      <c r="I127" t="s">
        <v>153</v>
      </c>
      <c r="J127" t="s">
        <v>12</v>
      </c>
      <c r="K127" t="s">
        <v>116</v>
      </c>
      <c r="L127" t="s">
        <v>169</v>
      </c>
      <c r="M127" t="s">
        <v>39</v>
      </c>
    </row>
    <row r="128" spans="4:13" x14ac:dyDescent="0.4">
      <c r="D128" t="s">
        <v>168</v>
      </c>
      <c r="E128" s="70">
        <v>43640</v>
      </c>
      <c r="F128" t="s">
        <v>1</v>
      </c>
      <c r="G128" t="s">
        <v>170</v>
      </c>
      <c r="H128" t="s">
        <v>44</v>
      </c>
      <c r="I128" t="s">
        <v>160</v>
      </c>
      <c r="J128" t="s">
        <v>13</v>
      </c>
      <c r="K128" t="s">
        <v>117</v>
      </c>
      <c r="L128" t="s">
        <v>169</v>
      </c>
      <c r="M128" t="s">
        <v>97</v>
      </c>
    </row>
    <row r="129" spans="4:13" x14ac:dyDescent="0.4">
      <c r="D129" t="s">
        <v>168</v>
      </c>
      <c r="E129" s="70">
        <v>43637</v>
      </c>
      <c r="F129" t="s">
        <v>3</v>
      </c>
      <c r="G129" t="s">
        <v>174</v>
      </c>
      <c r="H129" t="s">
        <v>44</v>
      </c>
      <c r="I129" t="s">
        <v>146</v>
      </c>
      <c r="J129" t="s">
        <v>13</v>
      </c>
      <c r="K129" t="s">
        <v>117</v>
      </c>
      <c r="L129" t="s">
        <v>169</v>
      </c>
      <c r="M129" t="s">
        <v>50</v>
      </c>
    </row>
    <row r="130" spans="4:13" x14ac:dyDescent="0.4">
      <c r="D130" t="s">
        <v>168</v>
      </c>
      <c r="E130" s="70">
        <v>43636</v>
      </c>
      <c r="F130" t="s">
        <v>24</v>
      </c>
      <c r="G130" t="s">
        <v>172</v>
      </c>
      <c r="H130" t="s">
        <v>44</v>
      </c>
      <c r="I130" t="s">
        <v>160</v>
      </c>
      <c r="J130" t="s">
        <v>12</v>
      </c>
      <c r="K130" t="s">
        <v>116</v>
      </c>
      <c r="L130" t="s">
        <v>169</v>
      </c>
      <c r="M130" t="s">
        <v>49</v>
      </c>
    </row>
    <row r="131" spans="4:13" x14ac:dyDescent="0.4">
      <c r="D131" t="s">
        <v>168</v>
      </c>
      <c r="E131" s="70">
        <v>43635</v>
      </c>
      <c r="F131" t="s">
        <v>2</v>
      </c>
      <c r="G131" t="s">
        <v>175</v>
      </c>
      <c r="H131" t="s">
        <v>44</v>
      </c>
      <c r="I131" t="s">
        <v>160</v>
      </c>
      <c r="J131" t="s">
        <v>12</v>
      </c>
      <c r="K131" t="s">
        <v>116</v>
      </c>
      <c r="L131" t="s">
        <v>169</v>
      </c>
      <c r="M131" t="s">
        <v>38</v>
      </c>
    </row>
    <row r="132" spans="4:13" x14ac:dyDescent="0.4">
      <c r="D132" t="s">
        <v>168</v>
      </c>
      <c r="E132" s="70">
        <v>43634</v>
      </c>
      <c r="F132" t="s">
        <v>21</v>
      </c>
      <c r="G132" t="s">
        <v>174</v>
      </c>
      <c r="H132" t="s">
        <v>44</v>
      </c>
      <c r="I132" t="s">
        <v>146</v>
      </c>
      <c r="J132" t="s">
        <v>13</v>
      </c>
      <c r="K132" t="s">
        <v>117</v>
      </c>
      <c r="L132" t="s">
        <v>169</v>
      </c>
      <c r="M132" t="s">
        <v>48</v>
      </c>
    </row>
    <row r="133" spans="4:13" x14ac:dyDescent="0.4">
      <c r="D133" t="s">
        <v>168</v>
      </c>
      <c r="E133" s="70">
        <v>43633</v>
      </c>
      <c r="F133" t="s">
        <v>1</v>
      </c>
      <c r="G133" t="s">
        <v>170</v>
      </c>
      <c r="H133" t="s">
        <v>44</v>
      </c>
      <c r="I133" t="s">
        <v>146</v>
      </c>
      <c r="J133" t="s">
        <v>13</v>
      </c>
      <c r="K133" t="s">
        <v>117</v>
      </c>
      <c r="L133" t="s">
        <v>169</v>
      </c>
      <c r="M133" t="s">
        <v>86</v>
      </c>
    </row>
    <row r="134" spans="4:13" x14ac:dyDescent="0.4">
      <c r="D134" t="s">
        <v>168</v>
      </c>
      <c r="E134" s="70">
        <v>43633</v>
      </c>
      <c r="F134" t="s">
        <v>1</v>
      </c>
      <c r="G134" t="s">
        <v>174</v>
      </c>
      <c r="H134" t="s">
        <v>44</v>
      </c>
      <c r="I134" t="s">
        <v>158</v>
      </c>
      <c r="J134" t="s">
        <v>13</v>
      </c>
      <c r="K134" t="s">
        <v>117</v>
      </c>
      <c r="L134" t="s">
        <v>169</v>
      </c>
      <c r="M134" t="s">
        <v>47</v>
      </c>
    </row>
    <row r="135" spans="4:13" x14ac:dyDescent="0.4">
      <c r="D135" t="s">
        <v>168</v>
      </c>
      <c r="E135" s="70">
        <v>43630</v>
      </c>
      <c r="F135" t="s">
        <v>3</v>
      </c>
      <c r="G135" t="s">
        <v>173</v>
      </c>
      <c r="H135" t="s">
        <v>44</v>
      </c>
      <c r="I135" t="s">
        <v>146</v>
      </c>
      <c r="J135" t="s">
        <v>13</v>
      </c>
      <c r="K135" t="s">
        <v>117</v>
      </c>
      <c r="L135" t="s">
        <v>169</v>
      </c>
      <c r="M135" t="s">
        <v>46</v>
      </c>
    </row>
    <row r="136" spans="4:13" x14ac:dyDescent="0.4">
      <c r="D136" t="s">
        <v>168</v>
      </c>
      <c r="E136" s="70">
        <v>43629</v>
      </c>
      <c r="F136" t="s">
        <v>24</v>
      </c>
      <c r="G136" t="s">
        <v>171</v>
      </c>
      <c r="H136" t="s">
        <v>44</v>
      </c>
      <c r="I136" t="s">
        <v>159</v>
      </c>
      <c r="J136" t="s">
        <v>12</v>
      </c>
      <c r="K136" t="s">
        <v>116</v>
      </c>
      <c r="L136" t="s">
        <v>169</v>
      </c>
      <c r="M136" t="s">
        <v>66</v>
      </c>
    </row>
    <row r="137" spans="4:13" x14ac:dyDescent="0.4">
      <c r="D137" t="s">
        <v>168</v>
      </c>
      <c r="E137" s="70">
        <v>43628</v>
      </c>
      <c r="F137" t="s">
        <v>2</v>
      </c>
      <c r="G137" t="s">
        <v>170</v>
      </c>
      <c r="H137" t="s">
        <v>44</v>
      </c>
      <c r="I137" t="s">
        <v>148</v>
      </c>
      <c r="J137" t="s">
        <v>13</v>
      </c>
      <c r="K137" t="s">
        <v>117</v>
      </c>
      <c r="L137" t="s">
        <v>169</v>
      </c>
      <c r="M137" t="s">
        <v>37</v>
      </c>
    </row>
    <row r="138" spans="4:13" x14ac:dyDescent="0.4">
      <c r="D138" t="s">
        <v>168</v>
      </c>
      <c r="E138" s="70">
        <v>43627</v>
      </c>
      <c r="F138" t="s">
        <v>21</v>
      </c>
      <c r="G138" t="s">
        <v>172</v>
      </c>
      <c r="H138" t="s">
        <v>44</v>
      </c>
      <c r="I138" t="s">
        <v>148</v>
      </c>
      <c r="J138" t="s">
        <v>12</v>
      </c>
      <c r="K138" t="s">
        <v>116</v>
      </c>
      <c r="L138" t="s">
        <v>169</v>
      </c>
      <c r="M138" t="s">
        <v>45</v>
      </c>
    </row>
    <row r="139" spans="4:13" x14ac:dyDescent="0.4">
      <c r="D139" t="s">
        <v>168</v>
      </c>
      <c r="E139" s="70">
        <v>43626</v>
      </c>
      <c r="F139" t="s">
        <v>1</v>
      </c>
      <c r="G139" t="s">
        <v>171</v>
      </c>
      <c r="H139" t="s">
        <v>44</v>
      </c>
      <c r="I139" t="s">
        <v>160</v>
      </c>
      <c r="J139" t="s">
        <v>12</v>
      </c>
      <c r="K139" t="s">
        <v>116</v>
      </c>
      <c r="L139" t="s">
        <v>169</v>
      </c>
      <c r="M139" t="s">
        <v>40</v>
      </c>
    </row>
    <row r="140" spans="4:13" x14ac:dyDescent="0.4">
      <c r="D140" t="s">
        <v>168</v>
      </c>
      <c r="E140" s="70">
        <v>43626</v>
      </c>
      <c r="F140" t="s">
        <v>1</v>
      </c>
      <c r="G140" t="s">
        <v>176</v>
      </c>
      <c r="H140" t="s">
        <v>44</v>
      </c>
      <c r="I140" t="s">
        <v>162</v>
      </c>
      <c r="J140" t="s">
        <v>68</v>
      </c>
      <c r="K140" t="s">
        <v>69</v>
      </c>
      <c r="L140" t="s">
        <v>169</v>
      </c>
      <c r="M140" t="s">
        <v>73</v>
      </c>
    </row>
    <row r="141" spans="4:13" x14ac:dyDescent="0.4">
      <c r="D141" t="s">
        <v>168</v>
      </c>
      <c r="E141" s="70">
        <v>43626</v>
      </c>
      <c r="F141" t="s">
        <v>1</v>
      </c>
      <c r="G141" t="s">
        <v>177</v>
      </c>
      <c r="H141" t="s">
        <v>44</v>
      </c>
      <c r="I141" t="s">
        <v>160</v>
      </c>
      <c r="J141" t="s">
        <v>13</v>
      </c>
      <c r="K141" t="s">
        <v>117</v>
      </c>
      <c r="L141" t="s">
        <v>169</v>
      </c>
      <c r="M141" t="s">
        <v>108</v>
      </c>
    </row>
    <row r="142" spans="4:13" x14ac:dyDescent="0.4">
      <c r="D142" t="s">
        <v>122</v>
      </c>
      <c r="E142" s="70">
        <v>43623</v>
      </c>
      <c r="F142" t="s">
        <v>3</v>
      </c>
      <c r="G142" t="s">
        <v>170</v>
      </c>
      <c r="H142" t="s">
        <v>44</v>
      </c>
      <c r="I142" t="s">
        <v>148</v>
      </c>
      <c r="J142" t="s">
        <v>13</v>
      </c>
      <c r="K142" t="s">
        <v>117</v>
      </c>
      <c r="L142" t="s">
        <v>169</v>
      </c>
      <c r="M142" t="s">
        <v>35</v>
      </c>
    </row>
    <row r="143" spans="4:13" x14ac:dyDescent="0.4">
      <c r="D143" t="s">
        <v>122</v>
      </c>
      <c r="E143" s="70">
        <v>43620</v>
      </c>
      <c r="F143" t="s">
        <v>21</v>
      </c>
      <c r="G143" t="s">
        <v>170</v>
      </c>
      <c r="H143" t="s">
        <v>44</v>
      </c>
      <c r="I143" t="s">
        <v>153</v>
      </c>
      <c r="J143" t="s">
        <v>12</v>
      </c>
      <c r="K143" t="s">
        <v>116</v>
      </c>
      <c r="L143" t="s">
        <v>169</v>
      </c>
      <c r="M143" t="s">
        <v>36</v>
      </c>
    </row>
    <row r="144" spans="4:13" x14ac:dyDescent="0.4">
      <c r="D144" t="s">
        <v>122</v>
      </c>
      <c r="E144" s="70">
        <v>43619</v>
      </c>
      <c r="F144" t="s">
        <v>1</v>
      </c>
      <c r="G144" t="s">
        <v>173</v>
      </c>
      <c r="H144" t="s">
        <v>44</v>
      </c>
      <c r="I144" t="s">
        <v>158</v>
      </c>
      <c r="J144" t="s">
        <v>13</v>
      </c>
      <c r="K144" t="s">
        <v>117</v>
      </c>
      <c r="L144" t="s">
        <v>169</v>
      </c>
      <c r="M144" t="s">
        <v>52</v>
      </c>
    </row>
    <row r="145" spans="4:13" x14ac:dyDescent="0.4">
      <c r="D145" t="s">
        <v>122</v>
      </c>
      <c r="E145" s="70">
        <v>43613</v>
      </c>
      <c r="F145" t="s">
        <v>21</v>
      </c>
      <c r="G145" t="s">
        <v>170</v>
      </c>
      <c r="H145" t="s">
        <v>44</v>
      </c>
      <c r="I145" t="s">
        <v>148</v>
      </c>
      <c r="J145" t="s">
        <v>12</v>
      </c>
      <c r="K145" t="s">
        <v>116</v>
      </c>
      <c r="L145" t="s">
        <v>169</v>
      </c>
      <c r="M145" t="s">
        <v>65</v>
      </c>
    </row>
    <row r="146" spans="4:13" x14ac:dyDescent="0.4">
      <c r="D146" t="s">
        <v>122</v>
      </c>
      <c r="E146" s="70">
        <v>43612</v>
      </c>
      <c r="F146" t="s">
        <v>1</v>
      </c>
      <c r="G146" t="s">
        <v>175</v>
      </c>
      <c r="H146" t="s">
        <v>44</v>
      </c>
      <c r="I146" t="s">
        <v>153</v>
      </c>
      <c r="J146" t="s">
        <v>9</v>
      </c>
      <c r="K146" t="s">
        <v>115</v>
      </c>
      <c r="L146" t="s">
        <v>169</v>
      </c>
      <c r="M146" t="s">
        <v>39</v>
      </c>
    </row>
    <row r="147" spans="4:13" x14ac:dyDescent="0.4">
      <c r="D147" t="s">
        <v>122</v>
      </c>
      <c r="E147" s="70">
        <v>43607</v>
      </c>
      <c r="F147" t="s">
        <v>2</v>
      </c>
      <c r="G147" t="s">
        <v>170</v>
      </c>
      <c r="H147" t="s">
        <v>44</v>
      </c>
      <c r="I147" t="s">
        <v>160</v>
      </c>
      <c r="J147" t="s">
        <v>12</v>
      </c>
      <c r="K147" t="s">
        <v>116</v>
      </c>
      <c r="L147" t="s">
        <v>169</v>
      </c>
      <c r="M147" t="s">
        <v>97</v>
      </c>
    </row>
    <row r="148" spans="4:13" x14ac:dyDescent="0.4">
      <c r="D148" t="s">
        <v>122</v>
      </c>
      <c r="E148" s="70">
        <v>43606</v>
      </c>
      <c r="F148" t="s">
        <v>21</v>
      </c>
      <c r="G148" t="s">
        <v>174</v>
      </c>
      <c r="H148" t="s">
        <v>44</v>
      </c>
      <c r="I148" t="s">
        <v>146</v>
      </c>
      <c r="J148" t="s">
        <v>12</v>
      </c>
      <c r="K148" t="s">
        <v>116</v>
      </c>
      <c r="L148" t="s">
        <v>169</v>
      </c>
      <c r="M148" t="s">
        <v>50</v>
      </c>
    </row>
    <row r="149" spans="4:13" x14ac:dyDescent="0.4">
      <c r="D149" t="s">
        <v>122</v>
      </c>
      <c r="E149" s="70">
        <v>43605</v>
      </c>
      <c r="F149" t="s">
        <v>1</v>
      </c>
      <c r="G149" t="s">
        <v>172</v>
      </c>
      <c r="H149" t="s">
        <v>44</v>
      </c>
      <c r="I149" t="s">
        <v>160</v>
      </c>
      <c r="J149" t="s">
        <v>9</v>
      </c>
      <c r="K149" t="s">
        <v>115</v>
      </c>
      <c r="L149" t="s">
        <v>169</v>
      </c>
      <c r="M149" t="s">
        <v>49</v>
      </c>
    </row>
    <row r="150" spans="4:13" x14ac:dyDescent="0.4">
      <c r="D150" t="s">
        <v>122</v>
      </c>
      <c r="E150" s="70">
        <v>43605</v>
      </c>
      <c r="F150" t="s">
        <v>1</v>
      </c>
      <c r="G150" t="s">
        <v>174</v>
      </c>
      <c r="H150" t="s">
        <v>44</v>
      </c>
      <c r="I150" t="s">
        <v>146</v>
      </c>
      <c r="J150" t="s">
        <v>12</v>
      </c>
      <c r="K150" t="s">
        <v>116</v>
      </c>
      <c r="L150" t="s">
        <v>169</v>
      </c>
      <c r="M150" t="s">
        <v>48</v>
      </c>
    </row>
    <row r="151" spans="4:13" x14ac:dyDescent="0.4">
      <c r="D151" t="s">
        <v>122</v>
      </c>
      <c r="E151" s="70">
        <v>43605</v>
      </c>
      <c r="F151" t="s">
        <v>1</v>
      </c>
      <c r="G151" t="s">
        <v>175</v>
      </c>
      <c r="H151" t="s">
        <v>44</v>
      </c>
      <c r="I151" t="s">
        <v>160</v>
      </c>
      <c r="J151" t="s">
        <v>9</v>
      </c>
      <c r="K151" t="s">
        <v>115</v>
      </c>
      <c r="L151" t="s">
        <v>169</v>
      </c>
      <c r="M151" t="s">
        <v>38</v>
      </c>
    </row>
    <row r="152" spans="4:13" x14ac:dyDescent="0.4">
      <c r="D152" t="s">
        <v>122</v>
      </c>
      <c r="E152" s="70">
        <v>43601</v>
      </c>
      <c r="F152" t="s">
        <v>24</v>
      </c>
      <c r="G152" t="s">
        <v>174</v>
      </c>
      <c r="H152" t="s">
        <v>44</v>
      </c>
      <c r="I152" t="s">
        <v>158</v>
      </c>
      <c r="J152" t="s">
        <v>12</v>
      </c>
      <c r="K152" t="s">
        <v>116</v>
      </c>
      <c r="L152" t="s">
        <v>169</v>
      </c>
      <c r="M152" t="s">
        <v>47</v>
      </c>
    </row>
    <row r="153" spans="4:13" x14ac:dyDescent="0.4">
      <c r="D153" t="s">
        <v>122</v>
      </c>
      <c r="E153" s="70">
        <v>43600</v>
      </c>
      <c r="F153" t="s">
        <v>2</v>
      </c>
      <c r="G153" t="s">
        <v>170</v>
      </c>
      <c r="H153" t="s">
        <v>44</v>
      </c>
      <c r="I153" t="s">
        <v>146</v>
      </c>
      <c r="J153" t="s">
        <v>12</v>
      </c>
      <c r="K153" t="s">
        <v>116</v>
      </c>
      <c r="L153" t="s">
        <v>169</v>
      </c>
      <c r="M153" t="s">
        <v>86</v>
      </c>
    </row>
    <row r="154" spans="4:13" x14ac:dyDescent="0.4">
      <c r="D154" t="s">
        <v>122</v>
      </c>
      <c r="E154" s="70">
        <v>43599</v>
      </c>
      <c r="F154" t="s">
        <v>21</v>
      </c>
      <c r="G154" t="s">
        <v>173</v>
      </c>
      <c r="H154" t="s">
        <v>44</v>
      </c>
      <c r="I154" t="s">
        <v>146</v>
      </c>
      <c r="J154" t="s">
        <v>12</v>
      </c>
      <c r="K154" t="s">
        <v>116</v>
      </c>
      <c r="L154" t="s">
        <v>169</v>
      </c>
      <c r="M154" t="s">
        <v>46</v>
      </c>
    </row>
    <row r="155" spans="4:13" x14ac:dyDescent="0.4">
      <c r="D155" t="s">
        <v>122</v>
      </c>
      <c r="E155" s="70">
        <v>43598</v>
      </c>
      <c r="F155" t="s">
        <v>1</v>
      </c>
      <c r="G155" t="s">
        <v>170</v>
      </c>
      <c r="H155" t="s">
        <v>44</v>
      </c>
      <c r="I155" t="s">
        <v>148</v>
      </c>
      <c r="J155" t="s">
        <v>12</v>
      </c>
      <c r="K155" t="s">
        <v>116</v>
      </c>
      <c r="L155" t="s">
        <v>169</v>
      </c>
      <c r="M155" t="s">
        <v>37</v>
      </c>
    </row>
    <row r="156" spans="4:13" x14ac:dyDescent="0.4">
      <c r="D156" t="s">
        <v>122</v>
      </c>
      <c r="E156" s="70">
        <v>43598</v>
      </c>
      <c r="F156" t="s">
        <v>1</v>
      </c>
      <c r="G156" t="s">
        <v>171</v>
      </c>
      <c r="H156" t="s">
        <v>44</v>
      </c>
      <c r="I156" t="s">
        <v>159</v>
      </c>
      <c r="J156" t="s">
        <v>9</v>
      </c>
      <c r="K156" t="s">
        <v>115</v>
      </c>
      <c r="L156" t="s">
        <v>169</v>
      </c>
      <c r="M156" t="s">
        <v>66</v>
      </c>
    </row>
    <row r="157" spans="4:13" x14ac:dyDescent="0.4">
      <c r="D157" t="s">
        <v>122</v>
      </c>
      <c r="E157" s="70">
        <v>43598</v>
      </c>
      <c r="F157" t="s">
        <v>1</v>
      </c>
      <c r="G157" t="s">
        <v>172</v>
      </c>
      <c r="H157" t="s">
        <v>44</v>
      </c>
      <c r="I157" t="s">
        <v>148</v>
      </c>
      <c r="J157" t="s">
        <v>9</v>
      </c>
      <c r="K157" t="s">
        <v>115</v>
      </c>
      <c r="L157" t="s">
        <v>169</v>
      </c>
      <c r="M157" t="s">
        <v>45</v>
      </c>
    </row>
    <row r="158" spans="4:13" x14ac:dyDescent="0.4">
      <c r="D158" t="s">
        <v>122</v>
      </c>
      <c r="E158" s="70">
        <v>43595</v>
      </c>
      <c r="F158" t="s">
        <v>3</v>
      </c>
      <c r="G158" t="s">
        <v>171</v>
      </c>
      <c r="H158" t="s">
        <v>44</v>
      </c>
      <c r="I158" t="s">
        <v>160</v>
      </c>
      <c r="J158" t="s">
        <v>9</v>
      </c>
      <c r="K158" t="s">
        <v>115</v>
      </c>
      <c r="L158" t="s">
        <v>169</v>
      </c>
      <c r="M158" t="s">
        <v>40</v>
      </c>
    </row>
    <row r="159" spans="4:13" x14ac:dyDescent="0.4">
      <c r="D159" t="s">
        <v>122</v>
      </c>
      <c r="E159" s="70">
        <v>43594</v>
      </c>
      <c r="F159" t="s">
        <v>24</v>
      </c>
      <c r="G159" t="s">
        <v>177</v>
      </c>
      <c r="H159" t="s">
        <v>44</v>
      </c>
      <c r="I159" t="s">
        <v>160</v>
      </c>
      <c r="J159" t="s">
        <v>12</v>
      </c>
      <c r="K159" t="s">
        <v>116</v>
      </c>
      <c r="L159" t="s">
        <v>169</v>
      </c>
      <c r="M159" t="s">
        <v>108</v>
      </c>
    </row>
    <row r="160" spans="4:13" x14ac:dyDescent="0.4">
      <c r="D160" t="s">
        <v>122</v>
      </c>
      <c r="E160" s="70">
        <v>43593</v>
      </c>
      <c r="F160" t="s">
        <v>2</v>
      </c>
      <c r="G160" t="s">
        <v>176</v>
      </c>
      <c r="H160" t="s">
        <v>44</v>
      </c>
      <c r="I160" t="s">
        <v>162</v>
      </c>
      <c r="J160" t="s">
        <v>68</v>
      </c>
      <c r="K160" t="s">
        <v>69</v>
      </c>
      <c r="L160" t="s">
        <v>169</v>
      </c>
      <c r="M160" t="s">
        <v>73</v>
      </c>
    </row>
    <row r="161" spans="4:13" x14ac:dyDescent="0.4">
      <c r="D161" t="s">
        <v>122</v>
      </c>
      <c r="E161" s="70">
        <v>43592</v>
      </c>
      <c r="F161" t="s">
        <v>21</v>
      </c>
      <c r="G161" t="s">
        <v>170</v>
      </c>
      <c r="H161" t="s">
        <v>44</v>
      </c>
      <c r="I161" t="s">
        <v>153</v>
      </c>
      <c r="J161" t="s">
        <v>9</v>
      </c>
      <c r="K161" t="s">
        <v>115</v>
      </c>
      <c r="L161" t="s">
        <v>169</v>
      </c>
      <c r="M161" t="s">
        <v>36</v>
      </c>
    </row>
    <row r="162" spans="4:13" x14ac:dyDescent="0.4">
      <c r="D162" t="s">
        <v>122</v>
      </c>
      <c r="E162" s="70">
        <v>43588</v>
      </c>
      <c r="F162" t="s">
        <v>3</v>
      </c>
      <c r="G162" t="s">
        <v>170</v>
      </c>
      <c r="H162" t="s">
        <v>44</v>
      </c>
      <c r="I162" t="s">
        <v>148</v>
      </c>
      <c r="J162" t="s">
        <v>12</v>
      </c>
      <c r="K162" t="s">
        <v>116</v>
      </c>
      <c r="L162" t="s">
        <v>169</v>
      </c>
      <c r="M162" t="s">
        <v>35</v>
      </c>
    </row>
    <row r="163" spans="4:13" x14ac:dyDescent="0.4">
      <c r="D163" t="s">
        <v>122</v>
      </c>
      <c r="E163" s="70">
        <v>43586</v>
      </c>
      <c r="F163" t="s">
        <v>2</v>
      </c>
      <c r="G163" t="s">
        <v>173</v>
      </c>
      <c r="H163" t="s">
        <v>44</v>
      </c>
      <c r="I163" t="s">
        <v>158</v>
      </c>
      <c r="J163" t="s">
        <v>12</v>
      </c>
      <c r="K163" t="s">
        <v>116</v>
      </c>
      <c r="L163" t="s">
        <v>169</v>
      </c>
      <c r="M163" t="s">
        <v>52</v>
      </c>
    </row>
    <row r="164" spans="4:13" x14ac:dyDescent="0.4">
      <c r="D164" t="s">
        <v>122</v>
      </c>
      <c r="E164" s="70">
        <v>43585</v>
      </c>
      <c r="F164" t="s">
        <v>21</v>
      </c>
      <c r="G164" t="s">
        <v>170</v>
      </c>
      <c r="H164" t="s">
        <v>44</v>
      </c>
      <c r="I164" t="s">
        <v>148</v>
      </c>
      <c r="J164" t="s">
        <v>9</v>
      </c>
      <c r="K164" t="s">
        <v>115</v>
      </c>
      <c r="L164" t="s">
        <v>169</v>
      </c>
      <c r="M164" t="s">
        <v>65</v>
      </c>
    </row>
    <row r="165" spans="4:13" x14ac:dyDescent="0.4">
      <c r="D165" t="s">
        <v>122</v>
      </c>
      <c r="E165" s="70">
        <v>43580</v>
      </c>
      <c r="F165" t="s">
        <v>24</v>
      </c>
      <c r="G165" t="s">
        <v>175</v>
      </c>
      <c r="H165" t="s">
        <v>44</v>
      </c>
      <c r="I165" t="s">
        <v>153</v>
      </c>
      <c r="J165" t="s">
        <v>7</v>
      </c>
      <c r="K165" t="s">
        <v>114</v>
      </c>
      <c r="L165" t="s">
        <v>169</v>
      </c>
      <c r="M165" t="s">
        <v>39</v>
      </c>
    </row>
    <row r="166" spans="4:13" x14ac:dyDescent="0.4">
      <c r="D166" t="s">
        <v>122</v>
      </c>
      <c r="E166" s="70">
        <v>43577</v>
      </c>
      <c r="F166" t="s">
        <v>1</v>
      </c>
      <c r="G166" t="s">
        <v>170</v>
      </c>
      <c r="H166" t="s">
        <v>44</v>
      </c>
      <c r="I166" t="s">
        <v>160</v>
      </c>
      <c r="J166" t="s">
        <v>9</v>
      </c>
      <c r="K166" t="s">
        <v>115</v>
      </c>
      <c r="L166" t="s">
        <v>169</v>
      </c>
      <c r="M166" t="s">
        <v>97</v>
      </c>
    </row>
    <row r="167" spans="4:13" x14ac:dyDescent="0.4">
      <c r="D167" t="s">
        <v>122</v>
      </c>
      <c r="E167" s="70">
        <v>43577</v>
      </c>
      <c r="F167" t="s">
        <v>1</v>
      </c>
      <c r="G167" t="s">
        <v>172</v>
      </c>
      <c r="H167" t="s">
        <v>44</v>
      </c>
      <c r="I167" t="s">
        <v>160</v>
      </c>
      <c r="J167" t="s">
        <v>7</v>
      </c>
      <c r="K167" t="s">
        <v>114</v>
      </c>
      <c r="L167" t="s">
        <v>169</v>
      </c>
      <c r="M167" t="s">
        <v>49</v>
      </c>
    </row>
    <row r="168" spans="4:13" x14ac:dyDescent="0.4">
      <c r="D168" t="s">
        <v>122</v>
      </c>
      <c r="E168" s="70">
        <v>43577</v>
      </c>
      <c r="F168" t="s">
        <v>1</v>
      </c>
      <c r="G168" t="s">
        <v>174</v>
      </c>
      <c r="H168" t="s">
        <v>44</v>
      </c>
      <c r="I168" t="s">
        <v>146</v>
      </c>
      <c r="J168" t="s">
        <v>9</v>
      </c>
      <c r="K168" t="s">
        <v>115</v>
      </c>
      <c r="L168" t="s">
        <v>169</v>
      </c>
      <c r="M168" t="s">
        <v>50</v>
      </c>
    </row>
    <row r="169" spans="4:13" x14ac:dyDescent="0.4">
      <c r="D169" t="s">
        <v>122</v>
      </c>
      <c r="E169" s="70">
        <v>43574</v>
      </c>
      <c r="F169" t="s">
        <v>3</v>
      </c>
      <c r="G169" t="s">
        <v>175</v>
      </c>
      <c r="H169" t="s">
        <v>44</v>
      </c>
      <c r="I169" t="s">
        <v>160</v>
      </c>
      <c r="J169" t="s">
        <v>7</v>
      </c>
      <c r="K169" t="s">
        <v>114</v>
      </c>
      <c r="L169" t="s">
        <v>169</v>
      </c>
      <c r="M169" t="s">
        <v>38</v>
      </c>
    </row>
    <row r="170" spans="4:13" x14ac:dyDescent="0.4">
      <c r="D170" t="s">
        <v>122</v>
      </c>
      <c r="E170" s="70">
        <v>43573</v>
      </c>
      <c r="F170" t="s">
        <v>24</v>
      </c>
      <c r="G170" t="s">
        <v>174</v>
      </c>
      <c r="H170" t="s">
        <v>44</v>
      </c>
      <c r="I170" t="s">
        <v>146</v>
      </c>
      <c r="J170" t="s">
        <v>9</v>
      </c>
      <c r="K170" t="s">
        <v>115</v>
      </c>
      <c r="L170" t="s">
        <v>169</v>
      </c>
      <c r="M170" t="s">
        <v>48</v>
      </c>
    </row>
    <row r="171" spans="4:13" x14ac:dyDescent="0.4">
      <c r="D171" t="s">
        <v>122</v>
      </c>
      <c r="E171" s="70">
        <v>43571</v>
      </c>
      <c r="F171" t="s">
        <v>21</v>
      </c>
      <c r="G171" t="s">
        <v>174</v>
      </c>
      <c r="H171" t="s">
        <v>44</v>
      </c>
      <c r="I171" t="s">
        <v>158</v>
      </c>
      <c r="J171" t="s">
        <v>9</v>
      </c>
      <c r="K171" t="s">
        <v>115</v>
      </c>
      <c r="L171" t="s">
        <v>169</v>
      </c>
      <c r="M171" t="s">
        <v>47</v>
      </c>
    </row>
    <row r="172" spans="4:13" x14ac:dyDescent="0.4">
      <c r="D172" t="s">
        <v>122</v>
      </c>
      <c r="E172" s="70">
        <v>43570</v>
      </c>
      <c r="F172" t="s">
        <v>1</v>
      </c>
      <c r="G172" t="s">
        <v>170</v>
      </c>
      <c r="H172" t="s">
        <v>44</v>
      </c>
      <c r="I172" t="s">
        <v>146</v>
      </c>
      <c r="J172" t="s">
        <v>9</v>
      </c>
      <c r="K172" t="s">
        <v>115</v>
      </c>
      <c r="L172" t="s">
        <v>169</v>
      </c>
      <c r="M172" t="s">
        <v>86</v>
      </c>
    </row>
    <row r="173" spans="4:13" x14ac:dyDescent="0.4">
      <c r="D173" t="s">
        <v>122</v>
      </c>
      <c r="E173" s="70">
        <v>43570</v>
      </c>
      <c r="F173" t="s">
        <v>1</v>
      </c>
      <c r="G173" t="s">
        <v>171</v>
      </c>
      <c r="H173" t="s">
        <v>44</v>
      </c>
      <c r="I173" t="s">
        <v>159</v>
      </c>
      <c r="J173" t="s">
        <v>7</v>
      </c>
      <c r="K173" t="s">
        <v>114</v>
      </c>
      <c r="L173" t="s">
        <v>169</v>
      </c>
      <c r="M173" t="s">
        <v>66</v>
      </c>
    </row>
    <row r="174" spans="4:13" x14ac:dyDescent="0.4">
      <c r="D174" t="s">
        <v>122</v>
      </c>
      <c r="E174" s="70">
        <v>43570</v>
      </c>
      <c r="F174" t="s">
        <v>1</v>
      </c>
      <c r="G174" t="s">
        <v>173</v>
      </c>
      <c r="H174" t="s">
        <v>44</v>
      </c>
      <c r="I174" t="s">
        <v>146</v>
      </c>
      <c r="J174" t="s">
        <v>9</v>
      </c>
      <c r="K174" t="s">
        <v>115</v>
      </c>
      <c r="L174" t="s">
        <v>169</v>
      </c>
      <c r="M174" t="s">
        <v>46</v>
      </c>
    </row>
    <row r="175" spans="4:13" x14ac:dyDescent="0.4">
      <c r="D175" t="s">
        <v>122</v>
      </c>
      <c r="E175" s="70">
        <v>43567</v>
      </c>
      <c r="F175" t="s">
        <v>3</v>
      </c>
      <c r="G175" t="s">
        <v>170</v>
      </c>
      <c r="H175" t="s">
        <v>44</v>
      </c>
      <c r="I175" t="s">
        <v>148</v>
      </c>
      <c r="J175" t="s">
        <v>9</v>
      </c>
      <c r="K175" t="s">
        <v>115</v>
      </c>
      <c r="L175" t="s">
        <v>169</v>
      </c>
      <c r="M175" t="s">
        <v>37</v>
      </c>
    </row>
    <row r="176" spans="4:13" x14ac:dyDescent="0.4">
      <c r="D176" t="s">
        <v>122</v>
      </c>
      <c r="E176" s="70">
        <v>43566</v>
      </c>
      <c r="F176" t="s">
        <v>24</v>
      </c>
      <c r="G176" t="s">
        <v>172</v>
      </c>
      <c r="H176" t="s">
        <v>44</v>
      </c>
      <c r="I176" t="s">
        <v>148</v>
      </c>
      <c r="J176" t="s">
        <v>7</v>
      </c>
      <c r="K176" t="s">
        <v>114</v>
      </c>
      <c r="L176" t="s">
        <v>169</v>
      </c>
      <c r="M176" t="s">
        <v>45</v>
      </c>
    </row>
    <row r="177" spans="4:13" x14ac:dyDescent="0.4">
      <c r="D177" t="s">
        <v>122</v>
      </c>
      <c r="E177" s="70">
        <v>43565</v>
      </c>
      <c r="F177" t="s">
        <v>2</v>
      </c>
      <c r="G177" t="s">
        <v>171</v>
      </c>
      <c r="H177" t="s">
        <v>44</v>
      </c>
      <c r="I177" t="s">
        <v>160</v>
      </c>
      <c r="J177" t="s">
        <v>7</v>
      </c>
      <c r="K177" t="s">
        <v>114</v>
      </c>
      <c r="L177" t="s">
        <v>169</v>
      </c>
      <c r="M177" t="s">
        <v>40</v>
      </c>
    </row>
    <row r="178" spans="4:13" x14ac:dyDescent="0.4">
      <c r="D178" t="s">
        <v>122</v>
      </c>
      <c r="E178" s="70">
        <v>43564</v>
      </c>
      <c r="F178" t="s">
        <v>21</v>
      </c>
      <c r="G178" t="s">
        <v>170</v>
      </c>
      <c r="H178" t="s">
        <v>44</v>
      </c>
      <c r="I178" t="s">
        <v>153</v>
      </c>
      <c r="J178" t="s">
        <v>7</v>
      </c>
      <c r="K178" t="s">
        <v>114</v>
      </c>
      <c r="L178" t="s">
        <v>169</v>
      </c>
      <c r="M178" t="s">
        <v>36</v>
      </c>
    </row>
    <row r="179" spans="4:13" x14ac:dyDescent="0.4">
      <c r="D179" t="s">
        <v>122</v>
      </c>
      <c r="E179" s="70">
        <v>43564</v>
      </c>
      <c r="F179" t="s">
        <v>21</v>
      </c>
      <c r="G179" t="s">
        <v>177</v>
      </c>
      <c r="H179" t="s">
        <v>44</v>
      </c>
      <c r="I179" t="s">
        <v>160</v>
      </c>
      <c r="J179" t="s">
        <v>9</v>
      </c>
      <c r="K179" t="s">
        <v>115</v>
      </c>
      <c r="L179" t="s">
        <v>169</v>
      </c>
      <c r="M179" t="s">
        <v>108</v>
      </c>
    </row>
    <row r="180" spans="4:13" x14ac:dyDescent="0.4">
      <c r="D180" t="s">
        <v>122</v>
      </c>
      <c r="E180" s="70">
        <v>43563</v>
      </c>
      <c r="F180" t="s">
        <v>1</v>
      </c>
      <c r="G180" t="s">
        <v>176</v>
      </c>
      <c r="H180" t="s">
        <v>44</v>
      </c>
      <c r="I180" t="s">
        <v>162</v>
      </c>
      <c r="J180" t="s">
        <v>68</v>
      </c>
      <c r="K180" t="s">
        <v>69</v>
      </c>
      <c r="L180" t="s">
        <v>169</v>
      </c>
      <c r="M180" t="s">
        <v>73</v>
      </c>
    </row>
    <row r="181" spans="4:13" x14ac:dyDescent="0.4">
      <c r="D181" t="s">
        <v>122</v>
      </c>
      <c r="E181" s="70">
        <v>43560</v>
      </c>
      <c r="F181" t="s">
        <v>3</v>
      </c>
      <c r="G181" t="s">
        <v>170</v>
      </c>
      <c r="H181" t="s">
        <v>44</v>
      </c>
      <c r="I181" t="s">
        <v>148</v>
      </c>
      <c r="J181" t="s">
        <v>9</v>
      </c>
      <c r="K181" t="s">
        <v>115</v>
      </c>
      <c r="L181" t="s">
        <v>169</v>
      </c>
      <c r="M181" t="s">
        <v>35</v>
      </c>
    </row>
    <row r="182" spans="4:13" x14ac:dyDescent="0.4">
      <c r="D182" t="s">
        <v>122</v>
      </c>
      <c r="E182" s="70">
        <v>43556</v>
      </c>
      <c r="F182" t="s">
        <v>1</v>
      </c>
      <c r="G182" t="s">
        <v>173</v>
      </c>
      <c r="H182" t="s">
        <v>44</v>
      </c>
      <c r="I182" t="s">
        <v>158</v>
      </c>
      <c r="J182" t="s">
        <v>9</v>
      </c>
      <c r="K182" t="s">
        <v>115</v>
      </c>
      <c r="L182" t="s">
        <v>169</v>
      </c>
      <c r="M182" t="s">
        <v>52</v>
      </c>
    </row>
    <row r="183" spans="4:13" x14ac:dyDescent="0.4">
      <c r="D183" t="s">
        <v>122</v>
      </c>
      <c r="E183" s="70">
        <v>43550</v>
      </c>
      <c r="F183" t="s">
        <v>21</v>
      </c>
      <c r="G183" t="s">
        <v>170</v>
      </c>
      <c r="H183" t="s">
        <v>44</v>
      </c>
      <c r="I183" t="s">
        <v>148</v>
      </c>
      <c r="J183" t="s">
        <v>7</v>
      </c>
      <c r="K183" t="s">
        <v>114</v>
      </c>
      <c r="L183" t="s">
        <v>169</v>
      </c>
      <c r="M183" t="s">
        <v>65</v>
      </c>
    </row>
    <row r="184" spans="4:13" x14ac:dyDescent="0.4">
      <c r="D184" t="s">
        <v>122</v>
      </c>
      <c r="E184" s="70">
        <v>43549</v>
      </c>
      <c r="F184" t="s">
        <v>1</v>
      </c>
      <c r="G184" t="s">
        <v>175</v>
      </c>
      <c r="H184" t="s">
        <v>44</v>
      </c>
      <c r="I184" t="s">
        <v>153</v>
      </c>
      <c r="J184" t="s">
        <v>6</v>
      </c>
      <c r="K184" t="s">
        <v>113</v>
      </c>
      <c r="L184" t="s">
        <v>169</v>
      </c>
      <c r="M184" t="s">
        <v>39</v>
      </c>
    </row>
    <row r="185" spans="4:13" x14ac:dyDescent="0.4">
      <c r="D185" t="s">
        <v>122</v>
      </c>
      <c r="E185" s="70">
        <v>43546</v>
      </c>
      <c r="F185" t="s">
        <v>3</v>
      </c>
      <c r="G185" t="s">
        <v>170</v>
      </c>
      <c r="H185" t="s">
        <v>44</v>
      </c>
      <c r="I185" t="s">
        <v>160</v>
      </c>
      <c r="J185" t="s">
        <v>7</v>
      </c>
      <c r="K185" t="s">
        <v>114</v>
      </c>
      <c r="L185" t="s">
        <v>169</v>
      </c>
      <c r="M185" t="s">
        <v>97</v>
      </c>
    </row>
    <row r="186" spans="4:13" x14ac:dyDescent="0.4">
      <c r="D186" t="s">
        <v>122</v>
      </c>
      <c r="E186" s="70">
        <v>43545</v>
      </c>
      <c r="F186" t="s">
        <v>24</v>
      </c>
      <c r="G186" t="s">
        <v>174</v>
      </c>
      <c r="H186" t="s">
        <v>44</v>
      </c>
      <c r="I186" t="s">
        <v>146</v>
      </c>
      <c r="J186" t="s">
        <v>7</v>
      </c>
      <c r="K186" t="s">
        <v>114</v>
      </c>
      <c r="L186" t="s">
        <v>169</v>
      </c>
      <c r="M186" t="s">
        <v>50</v>
      </c>
    </row>
    <row r="187" spans="4:13" x14ac:dyDescent="0.4">
      <c r="D187" t="s">
        <v>122</v>
      </c>
      <c r="E187" s="70">
        <v>43544</v>
      </c>
      <c r="F187" t="s">
        <v>2</v>
      </c>
      <c r="G187" t="s">
        <v>172</v>
      </c>
      <c r="H187" t="s">
        <v>44</v>
      </c>
      <c r="I187" t="s">
        <v>160</v>
      </c>
      <c r="J187" t="s">
        <v>6</v>
      </c>
      <c r="K187" t="s">
        <v>113</v>
      </c>
      <c r="L187" t="s">
        <v>169</v>
      </c>
      <c r="M187" t="s">
        <v>49</v>
      </c>
    </row>
    <row r="188" spans="4:13" x14ac:dyDescent="0.4">
      <c r="D188" t="s">
        <v>122</v>
      </c>
      <c r="E188" s="70">
        <v>43543</v>
      </c>
      <c r="F188" t="s">
        <v>21</v>
      </c>
      <c r="G188" t="s">
        <v>175</v>
      </c>
      <c r="H188" t="s">
        <v>44</v>
      </c>
      <c r="I188" t="s">
        <v>160</v>
      </c>
      <c r="J188" t="s">
        <v>6</v>
      </c>
      <c r="K188" t="s">
        <v>113</v>
      </c>
      <c r="L188" t="s">
        <v>169</v>
      </c>
      <c r="M188" t="s">
        <v>38</v>
      </c>
    </row>
    <row r="189" spans="4:13" x14ac:dyDescent="0.4">
      <c r="D189" t="s">
        <v>122</v>
      </c>
      <c r="E189" s="70">
        <v>43542</v>
      </c>
      <c r="F189" t="s">
        <v>1</v>
      </c>
      <c r="G189" t="s">
        <v>174</v>
      </c>
      <c r="H189" t="s">
        <v>44</v>
      </c>
      <c r="I189" t="s">
        <v>146</v>
      </c>
      <c r="J189" t="s">
        <v>7</v>
      </c>
      <c r="K189" t="s">
        <v>114</v>
      </c>
      <c r="L189" t="s">
        <v>169</v>
      </c>
      <c r="M189" t="s">
        <v>48</v>
      </c>
    </row>
    <row r="190" spans="4:13" x14ac:dyDescent="0.4">
      <c r="D190" t="s">
        <v>122</v>
      </c>
      <c r="E190" s="70">
        <v>43542</v>
      </c>
      <c r="F190" t="s">
        <v>1</v>
      </c>
      <c r="G190" t="s">
        <v>174</v>
      </c>
      <c r="H190" t="s">
        <v>44</v>
      </c>
      <c r="I190" t="s">
        <v>158</v>
      </c>
      <c r="J190" t="s">
        <v>7</v>
      </c>
      <c r="K190" t="s">
        <v>114</v>
      </c>
      <c r="L190" t="s">
        <v>169</v>
      </c>
      <c r="M190" t="s">
        <v>47</v>
      </c>
    </row>
    <row r="191" spans="4:13" x14ac:dyDescent="0.4">
      <c r="D191" t="s">
        <v>122</v>
      </c>
      <c r="E191" s="70">
        <v>43539</v>
      </c>
      <c r="F191" t="s">
        <v>3</v>
      </c>
      <c r="G191" t="s">
        <v>170</v>
      </c>
      <c r="H191" t="s">
        <v>44</v>
      </c>
      <c r="I191" t="s">
        <v>146</v>
      </c>
      <c r="J191" t="s">
        <v>7</v>
      </c>
      <c r="K191" t="s">
        <v>114</v>
      </c>
      <c r="L191" t="s">
        <v>169</v>
      </c>
      <c r="M191" t="s">
        <v>86</v>
      </c>
    </row>
    <row r="192" spans="4:13" x14ac:dyDescent="0.4">
      <c r="D192" t="s">
        <v>122</v>
      </c>
      <c r="E192" s="70">
        <v>43538</v>
      </c>
      <c r="F192" t="s">
        <v>24</v>
      </c>
      <c r="G192" t="s">
        <v>173</v>
      </c>
      <c r="H192" t="s">
        <v>44</v>
      </c>
      <c r="I192" t="s">
        <v>146</v>
      </c>
      <c r="J192" t="s">
        <v>7</v>
      </c>
      <c r="K192" t="s">
        <v>114</v>
      </c>
      <c r="L192" t="s">
        <v>169</v>
      </c>
      <c r="M192" t="s">
        <v>46</v>
      </c>
    </row>
    <row r="193" spans="4:13" x14ac:dyDescent="0.4">
      <c r="D193" t="s">
        <v>122</v>
      </c>
      <c r="E193" s="70">
        <v>43537</v>
      </c>
      <c r="F193" t="s">
        <v>2</v>
      </c>
      <c r="G193" t="s">
        <v>171</v>
      </c>
      <c r="H193" t="s">
        <v>44</v>
      </c>
      <c r="I193" t="s">
        <v>159</v>
      </c>
      <c r="J193" t="s">
        <v>6</v>
      </c>
      <c r="K193" t="s">
        <v>113</v>
      </c>
      <c r="L193" t="s">
        <v>169</v>
      </c>
      <c r="M193" t="s">
        <v>66</v>
      </c>
    </row>
    <row r="194" spans="4:13" x14ac:dyDescent="0.4">
      <c r="D194" t="s">
        <v>122</v>
      </c>
      <c r="E194" s="70">
        <v>43536</v>
      </c>
      <c r="F194" t="s">
        <v>21</v>
      </c>
      <c r="G194" t="s">
        <v>170</v>
      </c>
      <c r="H194" t="s">
        <v>44</v>
      </c>
      <c r="I194" t="s">
        <v>148</v>
      </c>
      <c r="J194" t="s">
        <v>7</v>
      </c>
      <c r="K194" t="s">
        <v>114</v>
      </c>
      <c r="L194" t="s">
        <v>169</v>
      </c>
      <c r="M194" t="s">
        <v>37</v>
      </c>
    </row>
    <row r="195" spans="4:13" x14ac:dyDescent="0.4">
      <c r="D195" t="s">
        <v>122</v>
      </c>
      <c r="E195" s="70">
        <v>43535</v>
      </c>
      <c r="F195" t="s">
        <v>1</v>
      </c>
      <c r="G195" t="s">
        <v>171</v>
      </c>
      <c r="H195" t="s">
        <v>44</v>
      </c>
      <c r="I195" t="s">
        <v>160</v>
      </c>
      <c r="J195" t="s">
        <v>6</v>
      </c>
      <c r="K195" t="s">
        <v>113</v>
      </c>
      <c r="L195" t="s">
        <v>169</v>
      </c>
      <c r="M195" t="s">
        <v>40</v>
      </c>
    </row>
    <row r="196" spans="4:13" x14ac:dyDescent="0.4">
      <c r="D196" t="s">
        <v>122</v>
      </c>
      <c r="E196" s="70">
        <v>43535</v>
      </c>
      <c r="F196" t="s">
        <v>1</v>
      </c>
      <c r="G196" t="s">
        <v>172</v>
      </c>
      <c r="H196" t="s">
        <v>44</v>
      </c>
      <c r="I196" t="s">
        <v>148</v>
      </c>
      <c r="J196" t="s">
        <v>6</v>
      </c>
      <c r="K196" t="s">
        <v>113</v>
      </c>
      <c r="L196" t="s">
        <v>169</v>
      </c>
      <c r="M196" t="s">
        <v>45</v>
      </c>
    </row>
    <row r="197" spans="4:13" x14ac:dyDescent="0.4">
      <c r="D197" t="s">
        <v>122</v>
      </c>
      <c r="E197" s="70">
        <v>43535</v>
      </c>
      <c r="F197" t="s">
        <v>1</v>
      </c>
      <c r="G197" t="s">
        <v>177</v>
      </c>
      <c r="H197" t="s">
        <v>44</v>
      </c>
      <c r="I197" t="s">
        <v>160</v>
      </c>
      <c r="J197" t="s">
        <v>7</v>
      </c>
      <c r="K197" t="s">
        <v>114</v>
      </c>
      <c r="L197" t="s">
        <v>169</v>
      </c>
      <c r="M197" t="s">
        <v>108</v>
      </c>
    </row>
    <row r="198" spans="4:13" x14ac:dyDescent="0.4">
      <c r="D198" t="s">
        <v>122</v>
      </c>
      <c r="E198" s="70">
        <v>43532</v>
      </c>
      <c r="F198" t="s">
        <v>3</v>
      </c>
      <c r="G198" t="s">
        <v>176</v>
      </c>
      <c r="H198" t="s">
        <v>44</v>
      </c>
      <c r="I198" t="s">
        <v>162</v>
      </c>
      <c r="J198" t="s">
        <v>68</v>
      </c>
      <c r="K198" t="s">
        <v>69</v>
      </c>
      <c r="L198" t="s">
        <v>169</v>
      </c>
      <c r="M198" t="s">
        <v>73</v>
      </c>
    </row>
    <row r="199" spans="4:13" x14ac:dyDescent="0.4">
      <c r="D199" t="s">
        <v>122</v>
      </c>
      <c r="E199" s="70">
        <v>43529</v>
      </c>
      <c r="F199" t="s">
        <v>21</v>
      </c>
      <c r="G199" t="s">
        <v>170</v>
      </c>
      <c r="H199" t="s">
        <v>44</v>
      </c>
      <c r="I199" t="s">
        <v>153</v>
      </c>
      <c r="J199" t="s">
        <v>6</v>
      </c>
      <c r="K199" t="s">
        <v>113</v>
      </c>
      <c r="L199" t="s">
        <v>169</v>
      </c>
      <c r="M199" t="s">
        <v>36</v>
      </c>
    </row>
    <row r="200" spans="4:13" x14ac:dyDescent="0.4">
      <c r="D200" t="s">
        <v>122</v>
      </c>
      <c r="E200" s="70">
        <v>43525</v>
      </c>
      <c r="F200" t="s">
        <v>3</v>
      </c>
      <c r="G200" t="s">
        <v>170</v>
      </c>
      <c r="H200" t="s">
        <v>44</v>
      </c>
      <c r="I200" t="s">
        <v>148</v>
      </c>
      <c r="J200" t="s">
        <v>7</v>
      </c>
      <c r="K200" t="s">
        <v>114</v>
      </c>
      <c r="L200" t="s">
        <v>169</v>
      </c>
      <c r="M200" t="s">
        <v>35</v>
      </c>
    </row>
    <row r="201" spans="4:13" x14ac:dyDescent="0.4">
      <c r="D201" t="s">
        <v>122</v>
      </c>
      <c r="E201" s="70">
        <v>43525</v>
      </c>
      <c r="F201" t="s">
        <v>3</v>
      </c>
      <c r="G201" t="s">
        <v>173</v>
      </c>
      <c r="H201" t="s">
        <v>44</v>
      </c>
      <c r="I201" t="s">
        <v>158</v>
      </c>
      <c r="J201" t="s">
        <v>7</v>
      </c>
      <c r="K201" t="s">
        <v>114</v>
      </c>
      <c r="L201" t="s">
        <v>169</v>
      </c>
      <c r="M201" t="s">
        <v>52</v>
      </c>
    </row>
    <row r="202" spans="4:13" x14ac:dyDescent="0.4">
      <c r="D202" t="s">
        <v>122</v>
      </c>
      <c r="E202" s="70">
        <v>43522</v>
      </c>
      <c r="F202" t="s">
        <v>21</v>
      </c>
      <c r="G202" t="s">
        <v>170</v>
      </c>
      <c r="H202" t="s">
        <v>44</v>
      </c>
      <c r="I202" t="s">
        <v>148</v>
      </c>
      <c r="J202" t="s">
        <v>6</v>
      </c>
      <c r="K202" t="s">
        <v>113</v>
      </c>
      <c r="L202" t="s">
        <v>169</v>
      </c>
      <c r="M202" t="s">
        <v>65</v>
      </c>
    </row>
    <row r="203" spans="4:13" x14ac:dyDescent="0.4">
      <c r="D203" t="s">
        <v>122</v>
      </c>
      <c r="E203" s="70">
        <v>43521</v>
      </c>
      <c r="F203" t="s">
        <v>1</v>
      </c>
      <c r="G203" t="s">
        <v>175</v>
      </c>
      <c r="H203" t="s">
        <v>44</v>
      </c>
      <c r="I203" t="s">
        <v>153</v>
      </c>
      <c r="J203" t="s">
        <v>10</v>
      </c>
      <c r="K203" t="s">
        <v>111</v>
      </c>
      <c r="L203" t="s">
        <v>169</v>
      </c>
      <c r="M203" t="s">
        <v>39</v>
      </c>
    </row>
    <row r="204" spans="4:13" x14ac:dyDescent="0.4">
      <c r="D204" t="s">
        <v>122</v>
      </c>
      <c r="E204" s="70">
        <v>43518</v>
      </c>
      <c r="F204" t="s">
        <v>3</v>
      </c>
      <c r="G204" t="s">
        <v>170</v>
      </c>
      <c r="H204" t="s">
        <v>44</v>
      </c>
      <c r="I204" t="s">
        <v>160</v>
      </c>
      <c r="J204" t="s">
        <v>6</v>
      </c>
      <c r="K204" t="s">
        <v>113</v>
      </c>
      <c r="L204" t="s">
        <v>169</v>
      </c>
      <c r="M204" t="s">
        <v>97</v>
      </c>
    </row>
    <row r="205" spans="4:13" x14ac:dyDescent="0.4">
      <c r="D205" t="s">
        <v>122</v>
      </c>
      <c r="E205" s="70">
        <v>43517</v>
      </c>
      <c r="F205" t="s">
        <v>24</v>
      </c>
      <c r="G205" t="s">
        <v>174</v>
      </c>
      <c r="H205" t="s">
        <v>44</v>
      </c>
      <c r="I205" t="s">
        <v>146</v>
      </c>
      <c r="J205" t="s">
        <v>6</v>
      </c>
      <c r="K205" t="s">
        <v>113</v>
      </c>
      <c r="L205" t="s">
        <v>169</v>
      </c>
      <c r="M205" t="s">
        <v>50</v>
      </c>
    </row>
    <row r="206" spans="4:13" x14ac:dyDescent="0.4">
      <c r="D206" t="s">
        <v>122</v>
      </c>
      <c r="E206" s="70">
        <v>43516</v>
      </c>
      <c r="F206" t="s">
        <v>2</v>
      </c>
      <c r="G206" t="s">
        <v>172</v>
      </c>
      <c r="H206" t="s">
        <v>44</v>
      </c>
      <c r="I206" t="s">
        <v>160</v>
      </c>
      <c r="J206" t="s">
        <v>10</v>
      </c>
      <c r="K206" t="s">
        <v>111</v>
      </c>
      <c r="L206" t="s">
        <v>169</v>
      </c>
      <c r="M206" t="s">
        <v>49</v>
      </c>
    </row>
    <row r="207" spans="4:13" x14ac:dyDescent="0.4">
      <c r="D207" t="s">
        <v>122</v>
      </c>
      <c r="E207" s="70">
        <v>43515</v>
      </c>
      <c r="F207" t="s">
        <v>21</v>
      </c>
      <c r="G207" t="s">
        <v>175</v>
      </c>
      <c r="H207" t="s">
        <v>44</v>
      </c>
      <c r="I207" t="s">
        <v>160</v>
      </c>
      <c r="J207" t="s">
        <v>10</v>
      </c>
      <c r="K207" t="s">
        <v>111</v>
      </c>
      <c r="L207" t="s">
        <v>169</v>
      </c>
      <c r="M207" t="s">
        <v>38</v>
      </c>
    </row>
    <row r="208" spans="4:13" x14ac:dyDescent="0.4">
      <c r="D208" t="s">
        <v>122</v>
      </c>
      <c r="E208" s="70">
        <v>43514</v>
      </c>
      <c r="F208" t="s">
        <v>1</v>
      </c>
      <c r="G208" t="s">
        <v>174</v>
      </c>
      <c r="H208" t="s">
        <v>44</v>
      </c>
      <c r="I208" t="s">
        <v>146</v>
      </c>
      <c r="J208" t="s">
        <v>6</v>
      </c>
      <c r="K208" t="s">
        <v>113</v>
      </c>
      <c r="L208" t="s">
        <v>169</v>
      </c>
      <c r="M208" t="s">
        <v>48</v>
      </c>
    </row>
    <row r="209" spans="4:13" x14ac:dyDescent="0.4">
      <c r="D209" t="s">
        <v>122</v>
      </c>
      <c r="E209" s="70">
        <v>43514</v>
      </c>
      <c r="F209" t="s">
        <v>1</v>
      </c>
      <c r="G209" t="s">
        <v>174</v>
      </c>
      <c r="H209" t="s">
        <v>44</v>
      </c>
      <c r="I209" t="s">
        <v>158</v>
      </c>
      <c r="J209" t="s">
        <v>6</v>
      </c>
      <c r="K209" t="s">
        <v>113</v>
      </c>
      <c r="L209" t="s">
        <v>169</v>
      </c>
      <c r="M209" t="s">
        <v>47</v>
      </c>
    </row>
    <row r="210" spans="4:13" x14ac:dyDescent="0.4">
      <c r="D210" t="s">
        <v>122</v>
      </c>
      <c r="E210" s="70">
        <v>43511</v>
      </c>
      <c r="F210" t="s">
        <v>3</v>
      </c>
      <c r="G210" t="s">
        <v>170</v>
      </c>
      <c r="H210" t="s">
        <v>44</v>
      </c>
      <c r="I210" t="s">
        <v>146</v>
      </c>
      <c r="J210" t="s">
        <v>6</v>
      </c>
      <c r="K210" t="s">
        <v>113</v>
      </c>
      <c r="L210" t="s">
        <v>169</v>
      </c>
      <c r="M210" t="s">
        <v>86</v>
      </c>
    </row>
    <row r="211" spans="4:13" x14ac:dyDescent="0.4">
      <c r="D211" t="s">
        <v>122</v>
      </c>
      <c r="E211" s="70">
        <v>43510</v>
      </c>
      <c r="F211" t="s">
        <v>24</v>
      </c>
      <c r="G211" t="s">
        <v>173</v>
      </c>
      <c r="H211" t="s">
        <v>44</v>
      </c>
      <c r="I211" t="s">
        <v>146</v>
      </c>
      <c r="J211" t="s">
        <v>6</v>
      </c>
      <c r="K211" t="s">
        <v>113</v>
      </c>
      <c r="L211" t="s">
        <v>169</v>
      </c>
      <c r="M211" t="s">
        <v>46</v>
      </c>
    </row>
    <row r="212" spans="4:13" x14ac:dyDescent="0.4">
      <c r="D212" t="s">
        <v>122</v>
      </c>
      <c r="E212" s="70">
        <v>43509</v>
      </c>
      <c r="F212" t="s">
        <v>2</v>
      </c>
      <c r="G212" t="s">
        <v>171</v>
      </c>
      <c r="H212" t="s">
        <v>44</v>
      </c>
      <c r="I212" t="s">
        <v>159</v>
      </c>
      <c r="J212" t="s">
        <v>10</v>
      </c>
      <c r="K212" t="s">
        <v>111</v>
      </c>
      <c r="L212" t="s">
        <v>169</v>
      </c>
      <c r="M212" t="s">
        <v>66</v>
      </c>
    </row>
    <row r="213" spans="4:13" x14ac:dyDescent="0.4">
      <c r="D213" t="s">
        <v>122</v>
      </c>
      <c r="E213" s="70">
        <v>43508</v>
      </c>
      <c r="F213" t="s">
        <v>21</v>
      </c>
      <c r="G213" t="s">
        <v>170</v>
      </c>
      <c r="H213" t="s">
        <v>44</v>
      </c>
      <c r="I213" t="s">
        <v>148</v>
      </c>
      <c r="J213" t="s">
        <v>6</v>
      </c>
      <c r="K213" t="s">
        <v>113</v>
      </c>
      <c r="L213" t="s">
        <v>169</v>
      </c>
      <c r="M213" t="s">
        <v>37</v>
      </c>
    </row>
    <row r="214" spans="4:13" x14ac:dyDescent="0.4">
      <c r="D214" t="s">
        <v>122</v>
      </c>
      <c r="E214" s="70">
        <v>43507</v>
      </c>
      <c r="F214" t="s">
        <v>1</v>
      </c>
      <c r="G214" t="s">
        <v>171</v>
      </c>
      <c r="H214" t="s">
        <v>44</v>
      </c>
      <c r="I214" t="s">
        <v>160</v>
      </c>
      <c r="J214" t="s">
        <v>10</v>
      </c>
      <c r="K214" t="s">
        <v>111</v>
      </c>
      <c r="L214" t="s">
        <v>169</v>
      </c>
      <c r="M214" t="s">
        <v>40</v>
      </c>
    </row>
    <row r="215" spans="4:13" x14ac:dyDescent="0.4">
      <c r="D215" t="s">
        <v>122</v>
      </c>
      <c r="E215" s="70">
        <v>43507</v>
      </c>
      <c r="F215" t="s">
        <v>1</v>
      </c>
      <c r="G215" t="s">
        <v>172</v>
      </c>
      <c r="H215" t="s">
        <v>44</v>
      </c>
      <c r="I215" t="s">
        <v>148</v>
      </c>
      <c r="J215" t="s">
        <v>10</v>
      </c>
      <c r="K215" t="s">
        <v>111</v>
      </c>
      <c r="L215" t="s">
        <v>169</v>
      </c>
      <c r="M215" t="s">
        <v>45</v>
      </c>
    </row>
    <row r="216" spans="4:13" x14ac:dyDescent="0.4">
      <c r="D216" t="s">
        <v>122</v>
      </c>
      <c r="E216" s="70">
        <v>43507</v>
      </c>
      <c r="F216" t="s">
        <v>1</v>
      </c>
      <c r="G216" t="s">
        <v>177</v>
      </c>
      <c r="H216" t="s">
        <v>44</v>
      </c>
      <c r="I216" t="s">
        <v>160</v>
      </c>
      <c r="J216" t="s">
        <v>6</v>
      </c>
      <c r="K216" t="s">
        <v>113</v>
      </c>
      <c r="L216" t="s">
        <v>169</v>
      </c>
      <c r="M216" t="s">
        <v>108</v>
      </c>
    </row>
    <row r="217" spans="4:13" x14ac:dyDescent="0.4">
      <c r="D217" t="s">
        <v>122</v>
      </c>
      <c r="E217" s="70">
        <v>43504</v>
      </c>
      <c r="F217" t="s">
        <v>3</v>
      </c>
      <c r="G217" t="s">
        <v>176</v>
      </c>
      <c r="H217" t="s">
        <v>44</v>
      </c>
      <c r="I217" t="s">
        <v>162</v>
      </c>
      <c r="J217" t="s">
        <v>68</v>
      </c>
      <c r="K217" t="s">
        <v>69</v>
      </c>
      <c r="L217" t="s">
        <v>169</v>
      </c>
      <c r="M217" t="s">
        <v>73</v>
      </c>
    </row>
    <row r="218" spans="4:13" x14ac:dyDescent="0.4">
      <c r="D218" t="s">
        <v>122</v>
      </c>
      <c r="E218" s="70">
        <v>43501</v>
      </c>
      <c r="F218" t="s">
        <v>21</v>
      </c>
      <c r="G218" t="s">
        <v>170</v>
      </c>
      <c r="H218" t="s">
        <v>44</v>
      </c>
      <c r="I218" t="s">
        <v>153</v>
      </c>
      <c r="J218" t="s">
        <v>10</v>
      </c>
      <c r="K218" t="s">
        <v>111</v>
      </c>
      <c r="L218" t="s">
        <v>169</v>
      </c>
      <c r="M218" t="s">
        <v>36</v>
      </c>
    </row>
    <row r="219" spans="4:13" x14ac:dyDescent="0.4">
      <c r="D219" t="s">
        <v>122</v>
      </c>
      <c r="E219" s="70">
        <v>43497</v>
      </c>
      <c r="F219" t="s">
        <v>3</v>
      </c>
      <c r="G219" t="s">
        <v>170</v>
      </c>
      <c r="H219" t="s">
        <v>44</v>
      </c>
      <c r="I219" t="s">
        <v>148</v>
      </c>
      <c r="J219" t="s">
        <v>6</v>
      </c>
      <c r="K219" t="s">
        <v>113</v>
      </c>
      <c r="L219" t="s">
        <v>169</v>
      </c>
      <c r="M219" t="s">
        <v>35</v>
      </c>
    </row>
    <row r="220" spans="4:13" x14ac:dyDescent="0.4">
      <c r="D220" t="s">
        <v>122</v>
      </c>
      <c r="E220" s="70">
        <v>43497</v>
      </c>
      <c r="F220" t="s">
        <v>3</v>
      </c>
      <c r="G220" t="s">
        <v>173</v>
      </c>
      <c r="H220" t="s">
        <v>44</v>
      </c>
      <c r="I220" t="s">
        <v>158</v>
      </c>
      <c r="J220" t="s">
        <v>6</v>
      </c>
      <c r="K220" t="s">
        <v>113</v>
      </c>
      <c r="L220" t="s">
        <v>169</v>
      </c>
      <c r="M220" t="s">
        <v>52</v>
      </c>
    </row>
    <row r="221" spans="4:13" x14ac:dyDescent="0.4">
      <c r="D221" t="s">
        <v>122</v>
      </c>
      <c r="E221" s="70">
        <v>43494</v>
      </c>
      <c r="F221" t="s">
        <v>21</v>
      </c>
      <c r="G221" t="s">
        <v>170</v>
      </c>
      <c r="H221" t="s">
        <v>44</v>
      </c>
      <c r="I221" t="s">
        <v>148</v>
      </c>
      <c r="J221" t="s">
        <v>10</v>
      </c>
      <c r="K221" t="s">
        <v>111</v>
      </c>
      <c r="L221" t="s">
        <v>169</v>
      </c>
      <c r="M221" t="s">
        <v>65</v>
      </c>
    </row>
    <row r="222" spans="4:13" x14ac:dyDescent="0.4">
      <c r="D222" t="s">
        <v>122</v>
      </c>
      <c r="E222" s="70">
        <v>43490</v>
      </c>
      <c r="F222" t="s">
        <v>3</v>
      </c>
      <c r="G222" t="s">
        <v>175</v>
      </c>
      <c r="H222" t="s">
        <v>44</v>
      </c>
      <c r="I222" t="s">
        <v>153</v>
      </c>
      <c r="J222" t="s">
        <v>16</v>
      </c>
      <c r="K222" t="s">
        <v>110</v>
      </c>
      <c r="L222" t="s">
        <v>169</v>
      </c>
      <c r="M222" t="s">
        <v>39</v>
      </c>
    </row>
    <row r="223" spans="4:13" x14ac:dyDescent="0.4">
      <c r="D223" t="s">
        <v>122</v>
      </c>
      <c r="E223" s="70">
        <v>43487</v>
      </c>
      <c r="F223" t="s">
        <v>21</v>
      </c>
      <c r="G223" t="s">
        <v>170</v>
      </c>
      <c r="H223" t="s">
        <v>44</v>
      </c>
      <c r="I223" t="s">
        <v>160</v>
      </c>
      <c r="J223" t="s">
        <v>10</v>
      </c>
      <c r="K223" t="s">
        <v>111</v>
      </c>
      <c r="L223" t="s">
        <v>169</v>
      </c>
      <c r="M223" t="s">
        <v>97</v>
      </c>
    </row>
    <row r="224" spans="4:13" x14ac:dyDescent="0.4">
      <c r="D224" t="s">
        <v>122</v>
      </c>
      <c r="E224" s="70">
        <v>43486</v>
      </c>
      <c r="F224" t="s">
        <v>1</v>
      </c>
      <c r="G224" t="s">
        <v>172</v>
      </c>
      <c r="H224" t="s">
        <v>44</v>
      </c>
      <c r="I224" t="s">
        <v>160</v>
      </c>
      <c r="J224" t="s">
        <v>16</v>
      </c>
      <c r="K224" t="s">
        <v>110</v>
      </c>
      <c r="L224" t="s">
        <v>169</v>
      </c>
      <c r="M224" t="s">
        <v>49</v>
      </c>
    </row>
    <row r="225" spans="4:13" x14ac:dyDescent="0.4">
      <c r="D225" t="s">
        <v>122</v>
      </c>
      <c r="E225" s="70">
        <v>43486</v>
      </c>
      <c r="F225" t="s">
        <v>1</v>
      </c>
      <c r="G225" t="s">
        <v>174</v>
      </c>
      <c r="H225" t="s">
        <v>44</v>
      </c>
      <c r="I225" t="s">
        <v>146</v>
      </c>
      <c r="J225" t="s">
        <v>10</v>
      </c>
      <c r="K225" t="s">
        <v>111</v>
      </c>
      <c r="L225" t="s">
        <v>169</v>
      </c>
      <c r="M225" t="s">
        <v>50</v>
      </c>
    </row>
    <row r="226" spans="4:13" x14ac:dyDescent="0.4">
      <c r="D226" t="s">
        <v>122</v>
      </c>
      <c r="E226" s="70">
        <v>43486</v>
      </c>
      <c r="F226" t="s">
        <v>1</v>
      </c>
      <c r="G226" t="s">
        <v>175</v>
      </c>
      <c r="H226" t="s">
        <v>44</v>
      </c>
      <c r="I226" t="s">
        <v>160</v>
      </c>
      <c r="J226" t="s">
        <v>16</v>
      </c>
      <c r="K226" t="s">
        <v>110</v>
      </c>
      <c r="L226" t="s">
        <v>169</v>
      </c>
      <c r="M226" t="s">
        <v>38</v>
      </c>
    </row>
    <row r="227" spans="4:13" x14ac:dyDescent="0.4">
      <c r="D227" t="s">
        <v>122</v>
      </c>
      <c r="E227" s="70">
        <v>43483</v>
      </c>
      <c r="F227" t="s">
        <v>3</v>
      </c>
      <c r="G227" t="s">
        <v>174</v>
      </c>
      <c r="H227" t="s">
        <v>44</v>
      </c>
      <c r="I227" t="s">
        <v>146</v>
      </c>
      <c r="J227" t="s">
        <v>10</v>
      </c>
      <c r="K227" t="s">
        <v>111</v>
      </c>
      <c r="L227" t="s">
        <v>169</v>
      </c>
      <c r="M227" t="s">
        <v>48</v>
      </c>
    </row>
    <row r="228" spans="4:13" x14ac:dyDescent="0.4">
      <c r="D228" t="s">
        <v>122</v>
      </c>
      <c r="E228" s="70">
        <v>43481</v>
      </c>
      <c r="F228" t="s">
        <v>2</v>
      </c>
      <c r="G228" t="s">
        <v>174</v>
      </c>
      <c r="H228" t="s">
        <v>44</v>
      </c>
      <c r="I228" t="s">
        <v>158</v>
      </c>
      <c r="J228" t="s">
        <v>10</v>
      </c>
      <c r="K228" t="s">
        <v>111</v>
      </c>
      <c r="L228" t="s">
        <v>169</v>
      </c>
      <c r="M228" t="s">
        <v>47</v>
      </c>
    </row>
    <row r="229" spans="4:13" x14ac:dyDescent="0.4">
      <c r="D229" t="s">
        <v>122</v>
      </c>
      <c r="E229" s="70">
        <v>43480</v>
      </c>
      <c r="F229" t="s">
        <v>21</v>
      </c>
      <c r="G229" t="s">
        <v>170</v>
      </c>
      <c r="H229" t="s">
        <v>44</v>
      </c>
      <c r="I229" t="s">
        <v>146</v>
      </c>
      <c r="J229" t="s">
        <v>10</v>
      </c>
      <c r="K229" t="s">
        <v>111</v>
      </c>
      <c r="L229" t="s">
        <v>169</v>
      </c>
      <c r="M229" t="s">
        <v>86</v>
      </c>
    </row>
    <row r="230" spans="4:13" x14ac:dyDescent="0.4">
      <c r="D230" t="s">
        <v>122</v>
      </c>
      <c r="E230" s="70">
        <v>43479</v>
      </c>
      <c r="F230" t="s">
        <v>1</v>
      </c>
      <c r="G230" t="s">
        <v>170</v>
      </c>
      <c r="H230" t="s">
        <v>44</v>
      </c>
      <c r="I230" t="s">
        <v>148</v>
      </c>
      <c r="J230" t="s">
        <v>10</v>
      </c>
      <c r="K230" t="s">
        <v>111</v>
      </c>
      <c r="L230" t="s">
        <v>169</v>
      </c>
      <c r="M230" t="s">
        <v>37</v>
      </c>
    </row>
    <row r="231" spans="4:13" x14ac:dyDescent="0.4">
      <c r="D231" t="s">
        <v>122</v>
      </c>
      <c r="E231" s="70">
        <v>43479</v>
      </c>
      <c r="F231" t="s">
        <v>1</v>
      </c>
      <c r="G231" t="s">
        <v>171</v>
      </c>
      <c r="H231" t="s">
        <v>44</v>
      </c>
      <c r="I231" t="s">
        <v>159</v>
      </c>
      <c r="J231" t="s">
        <v>16</v>
      </c>
      <c r="K231" t="s">
        <v>110</v>
      </c>
      <c r="L231" t="s">
        <v>169</v>
      </c>
      <c r="M231" t="s">
        <v>66</v>
      </c>
    </row>
    <row r="232" spans="4:13" x14ac:dyDescent="0.4">
      <c r="D232" t="s">
        <v>122</v>
      </c>
      <c r="E232" s="70">
        <v>43479</v>
      </c>
      <c r="F232" t="s">
        <v>1</v>
      </c>
      <c r="G232" t="s">
        <v>173</v>
      </c>
      <c r="H232" t="s">
        <v>44</v>
      </c>
      <c r="I232" t="s">
        <v>146</v>
      </c>
      <c r="J232" t="s">
        <v>10</v>
      </c>
      <c r="K232" t="s">
        <v>111</v>
      </c>
      <c r="L232" t="s">
        <v>169</v>
      </c>
      <c r="M232" t="s">
        <v>46</v>
      </c>
    </row>
    <row r="233" spans="4:13" x14ac:dyDescent="0.4">
      <c r="D233" t="s">
        <v>122</v>
      </c>
      <c r="E233" s="70">
        <v>43476</v>
      </c>
      <c r="F233" t="s">
        <v>3</v>
      </c>
      <c r="G233" t="s">
        <v>172</v>
      </c>
      <c r="H233" t="s">
        <v>44</v>
      </c>
      <c r="I233" t="s">
        <v>148</v>
      </c>
      <c r="J233" t="s">
        <v>16</v>
      </c>
      <c r="K233" t="s">
        <v>110</v>
      </c>
      <c r="L233" t="s">
        <v>169</v>
      </c>
      <c r="M233" t="s">
        <v>45</v>
      </c>
    </row>
    <row r="234" spans="4:13" x14ac:dyDescent="0.4">
      <c r="D234" t="s">
        <v>122</v>
      </c>
      <c r="E234" s="70">
        <v>43475</v>
      </c>
      <c r="F234" t="s">
        <v>24</v>
      </c>
      <c r="G234" t="s">
        <v>171</v>
      </c>
      <c r="H234" t="s">
        <v>44</v>
      </c>
      <c r="I234" t="s">
        <v>160</v>
      </c>
      <c r="J234" t="s">
        <v>16</v>
      </c>
      <c r="K234" t="s">
        <v>110</v>
      </c>
      <c r="L234" t="s">
        <v>169</v>
      </c>
      <c r="M234" t="s">
        <v>40</v>
      </c>
    </row>
    <row r="235" spans="4:13" x14ac:dyDescent="0.4">
      <c r="D235" t="s">
        <v>122</v>
      </c>
      <c r="E235" s="70">
        <v>43474</v>
      </c>
      <c r="F235" t="s">
        <v>2</v>
      </c>
      <c r="G235" t="s">
        <v>177</v>
      </c>
      <c r="H235" t="s">
        <v>44</v>
      </c>
      <c r="I235" t="s">
        <v>160</v>
      </c>
      <c r="J235" t="s">
        <v>10</v>
      </c>
      <c r="K235" t="s">
        <v>111</v>
      </c>
      <c r="L235" t="s">
        <v>169</v>
      </c>
      <c r="M235" t="s">
        <v>108</v>
      </c>
    </row>
    <row r="236" spans="4:13" x14ac:dyDescent="0.4">
      <c r="D236" t="s">
        <v>122</v>
      </c>
      <c r="E236" s="70">
        <v>43473</v>
      </c>
      <c r="F236" t="s">
        <v>21</v>
      </c>
      <c r="G236" t="s">
        <v>170</v>
      </c>
      <c r="H236" t="s">
        <v>44</v>
      </c>
      <c r="I236" t="s">
        <v>153</v>
      </c>
      <c r="J236" t="s">
        <v>16</v>
      </c>
      <c r="K236" t="s">
        <v>110</v>
      </c>
      <c r="L236" t="s">
        <v>169</v>
      </c>
      <c r="M236" t="s">
        <v>36</v>
      </c>
    </row>
    <row r="237" spans="4:13" x14ac:dyDescent="0.4">
      <c r="D237" t="s">
        <v>122</v>
      </c>
      <c r="E237" s="70">
        <v>43473</v>
      </c>
      <c r="F237" t="s">
        <v>21</v>
      </c>
      <c r="G237" t="s">
        <v>176</v>
      </c>
      <c r="H237" t="s">
        <v>44</v>
      </c>
      <c r="I237" t="s">
        <v>162</v>
      </c>
      <c r="J237" t="s">
        <v>68</v>
      </c>
      <c r="K237" t="s">
        <v>69</v>
      </c>
      <c r="L237" t="s">
        <v>169</v>
      </c>
      <c r="M237" t="s">
        <v>73</v>
      </c>
    </row>
    <row r="238" spans="4:13" x14ac:dyDescent="0.4">
      <c r="D238" t="s">
        <v>122</v>
      </c>
      <c r="E238" s="70">
        <v>43469</v>
      </c>
      <c r="F238" t="s">
        <v>3</v>
      </c>
      <c r="G238" t="s">
        <v>170</v>
      </c>
      <c r="H238" t="s">
        <v>44</v>
      </c>
      <c r="I238" t="s">
        <v>148</v>
      </c>
      <c r="J238" t="s">
        <v>10</v>
      </c>
      <c r="K238" t="s">
        <v>111</v>
      </c>
      <c r="L238" t="s">
        <v>169</v>
      </c>
      <c r="M238" t="s">
        <v>35</v>
      </c>
    </row>
    <row r="239" spans="4:13" x14ac:dyDescent="0.4">
      <c r="D239" t="s">
        <v>122</v>
      </c>
      <c r="E239" s="70">
        <v>43466</v>
      </c>
      <c r="F239" t="s">
        <v>21</v>
      </c>
      <c r="G239" t="s">
        <v>173</v>
      </c>
      <c r="H239" t="s">
        <v>44</v>
      </c>
      <c r="I239" t="s">
        <v>158</v>
      </c>
      <c r="J239" t="s">
        <v>10</v>
      </c>
      <c r="K239" t="s">
        <v>111</v>
      </c>
      <c r="L239" t="s">
        <v>169</v>
      </c>
      <c r="M239" t="s">
        <v>52</v>
      </c>
    </row>
  </sheetData>
  <conditionalFormatting sqref="F1:M1 C1:D1 D2:M1048576">
    <cfRule type="expression" dxfId="1" priority="2">
      <formula>$D1="TRUE"</formula>
    </cfRule>
  </conditionalFormatting>
  <conditionalFormatting sqref="E1">
    <cfRule type="expression" dxfId="0" priority="1">
      <formula>$D1="TRUE"</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8B8E9-4DC6-4DD8-AFCB-AB735416B58B}">
  <sheetPr codeName="Sheet4">
    <tabColor rgb="FF0070C0"/>
  </sheetPr>
  <dimension ref="B1:N32"/>
  <sheetViews>
    <sheetView showGridLines="0" zoomScale="95" zoomScaleNormal="95" workbookViewId="0">
      <pane ySplit="2" topLeftCell="A3" activePane="bottomLeft" state="frozen"/>
      <selection pane="bottomLeft" activeCell="A3" sqref="A3"/>
    </sheetView>
  </sheetViews>
  <sheetFormatPr defaultRowHeight="15" customHeight="1" x14ac:dyDescent="0.4"/>
  <cols>
    <col min="2" max="2" width="91.3828125" bestFit="1" customWidth="1"/>
    <col min="3" max="3" width="9.15234375" bestFit="1" customWidth="1"/>
    <col min="4" max="4" width="16.69140625" customWidth="1"/>
    <col min="5" max="5" width="13.69140625" bestFit="1" customWidth="1"/>
    <col min="6" max="6" width="9.53515625" customWidth="1"/>
    <col min="7" max="7" width="12.53515625" customWidth="1"/>
    <col min="8" max="8" width="30.84375" customWidth="1"/>
    <col min="9" max="9" width="9.69140625" customWidth="1"/>
    <col min="10" max="10" width="13.69140625" customWidth="1"/>
    <col min="11" max="11" width="15.15234375" customWidth="1"/>
    <col min="12" max="12" width="11.69140625" customWidth="1"/>
    <col min="13" max="13" width="39.15234375" bestFit="1" customWidth="1"/>
    <col min="14" max="14" width="22.53515625" style="43" customWidth="1"/>
  </cols>
  <sheetData>
    <row r="1" spans="2:14" s="13" customFormat="1" ht="15" customHeight="1" x14ac:dyDescent="0.4">
      <c r="B1" s="26" t="s">
        <v>78</v>
      </c>
      <c r="C1" s="25">
        <v>2019</v>
      </c>
      <c r="D1" s="25"/>
      <c r="E1" s="25"/>
      <c r="F1" s="25"/>
      <c r="G1" s="25"/>
      <c r="H1" s="25"/>
      <c r="I1" s="25"/>
      <c r="J1" s="25"/>
      <c r="K1" s="25"/>
      <c r="L1" s="25"/>
      <c r="M1" s="25"/>
    </row>
    <row r="2" spans="2:14" s="13" customFormat="1" ht="15" customHeight="1" x14ac:dyDescent="0.4">
      <c r="C2" s="25"/>
      <c r="D2" s="25"/>
      <c r="E2" s="25"/>
      <c r="F2" s="25"/>
      <c r="G2" s="25"/>
      <c r="H2" s="25"/>
      <c r="I2" s="25"/>
      <c r="J2" s="25"/>
      <c r="K2" s="25"/>
      <c r="L2" s="25"/>
      <c r="M2" s="25"/>
    </row>
    <row r="3" spans="2:14" s="34" customFormat="1" ht="15" customHeight="1" x14ac:dyDescent="0.4">
      <c r="B3" s="60" t="s">
        <v>137</v>
      </c>
      <c r="C3" s="33"/>
      <c r="D3" s="33"/>
      <c r="E3" s="33"/>
      <c r="F3" s="32"/>
      <c r="G3" s="32"/>
      <c r="H3" s="32"/>
      <c r="I3" s="32"/>
      <c r="J3" s="32"/>
      <c r="K3" s="32"/>
      <c r="L3" s="32"/>
      <c r="M3" s="32"/>
      <c r="N3" s="39"/>
    </row>
    <row r="4" spans="2:14" s="34" customFormat="1" ht="15" customHeight="1" x14ac:dyDescent="0.4">
      <c r="B4" s="35" t="s">
        <v>80</v>
      </c>
      <c r="C4" s="36"/>
      <c r="D4" s="36"/>
      <c r="E4" s="36"/>
      <c r="F4" s="35"/>
      <c r="G4" s="35"/>
      <c r="H4" s="35"/>
      <c r="I4" s="35"/>
      <c r="J4" s="35"/>
      <c r="K4" s="35"/>
      <c r="L4" s="35"/>
      <c r="M4" s="35"/>
      <c r="N4" s="39"/>
    </row>
    <row r="5" spans="2:14" s="11" customFormat="1" ht="15" customHeight="1" x14ac:dyDescent="0.4">
      <c r="B5" s="27" t="str">
        <f t="array" ref="B5">TEXT(WORKDAY(CEILING(EOMONTH(DATE($C$1,1,1),-1)-5,7)+6-1,1,IF('Holiday (Dates to Exclude)'!$D:$D=VLOOKUP($I5,'Holiday (Dates to Exclude)'!$A:$B,2,0),'Holiday (Dates to Exclude)'!$E:$E,)),"MM/DD/YY")</f>
        <v>01/04/19</v>
      </c>
      <c r="C5" s="28" t="str">
        <f>TEXT(B5,"ddd")</f>
        <v>Fri</v>
      </c>
      <c r="D5" s="13" t="str">
        <f>TEXT($B5,"MMM YYYY")</f>
        <v>Jan 2019</v>
      </c>
      <c r="E5" s="28" t="s">
        <v>43</v>
      </c>
      <c r="F5" s="27" t="s">
        <v>170</v>
      </c>
      <c r="G5" s="27" t="s">
        <v>44</v>
      </c>
      <c r="H5" s="29" t="s">
        <v>4</v>
      </c>
      <c r="I5" s="29" t="s">
        <v>148</v>
      </c>
      <c r="J5" s="13" t="str">
        <f>TEXT(EDATE($B5,-1),"MMM")</f>
        <v>Dec</v>
      </c>
      <c r="K5" s="13" t="str">
        <f>TEXT(EOMONTH($B5,-1),"MM")</f>
        <v>12</v>
      </c>
      <c r="L5" s="13">
        <f>YEAR(B5)</f>
        <v>2019</v>
      </c>
      <c r="M5" s="29" t="s">
        <v>35</v>
      </c>
      <c r="N5" s="39" t="s">
        <v>82</v>
      </c>
    </row>
    <row r="6" spans="2:14" s="11" customFormat="1" ht="15" customHeight="1" x14ac:dyDescent="0.4">
      <c r="B6" s="27"/>
      <c r="C6" s="28"/>
      <c r="D6" s="13"/>
      <c r="E6" s="28"/>
      <c r="F6" s="27"/>
      <c r="G6" s="27"/>
      <c r="H6" s="29"/>
      <c r="I6" s="29"/>
      <c r="J6" s="13"/>
      <c r="K6" s="13"/>
      <c r="L6" s="13"/>
      <c r="M6" s="29"/>
      <c r="N6" s="39"/>
    </row>
    <row r="7" spans="2:14" s="11" customFormat="1" ht="15" customHeight="1" x14ac:dyDescent="0.4">
      <c r="B7" s="59" t="s">
        <v>127</v>
      </c>
      <c r="C7" s="28"/>
      <c r="D7" s="13"/>
      <c r="E7" s="28"/>
      <c r="F7" s="27"/>
      <c r="G7" s="27"/>
      <c r="H7" s="29"/>
      <c r="I7" s="29"/>
      <c r="J7" s="13"/>
      <c r="K7" s="13"/>
      <c r="L7" s="13"/>
      <c r="M7" s="29"/>
      <c r="N7" s="39"/>
    </row>
    <row r="8" spans="2:14" s="34" customFormat="1" ht="15" customHeight="1" x14ac:dyDescent="0.4">
      <c r="B8" s="57" t="s">
        <v>128</v>
      </c>
      <c r="C8" s="38" t="str">
        <f>TEXT(WORKDAY(CEILING(EOMONTH(DATE($C$1,1,1),-1)-5,7)+6-1,1),"MM/DD/YY")</f>
        <v>01/04/19</v>
      </c>
      <c r="D8" s="38" t="str">
        <f>TEXT(C8,"DDD")</f>
        <v>Fri</v>
      </c>
      <c r="E8" s="33"/>
      <c r="F8" s="32"/>
      <c r="G8" s="32"/>
      <c r="H8" s="32"/>
      <c r="I8" s="32"/>
      <c r="J8" s="32"/>
      <c r="K8" s="32"/>
      <c r="L8" s="32"/>
      <c r="M8" s="32"/>
      <c r="N8" s="39"/>
    </row>
    <row r="9" spans="2:14" s="34" customFormat="1" ht="15" customHeight="1" x14ac:dyDescent="0.4">
      <c r="B9" s="37"/>
      <c r="D9" s="33"/>
      <c r="E9" s="33"/>
      <c r="F9" s="32"/>
      <c r="G9" s="32"/>
      <c r="H9" s="32"/>
      <c r="I9" s="32"/>
      <c r="J9" s="32"/>
      <c r="K9" s="32"/>
      <c r="L9" s="32"/>
      <c r="M9" s="32"/>
      <c r="N9" s="39"/>
    </row>
    <row r="10" spans="2:14" s="11" customFormat="1" ht="15" customHeight="1" x14ac:dyDescent="0.4">
      <c r="B10" s="55" t="s">
        <v>125</v>
      </c>
      <c r="C10" s="28"/>
      <c r="D10" s="13"/>
      <c r="E10" s="28"/>
      <c r="F10" s="27"/>
      <c r="G10" s="27"/>
      <c r="H10" s="29"/>
      <c r="I10" s="29"/>
      <c r="J10" s="13"/>
      <c r="K10" s="13"/>
      <c r="L10" s="13"/>
      <c r="M10" s="29"/>
      <c r="N10" s="39"/>
    </row>
    <row r="11" spans="2:14" s="11" customFormat="1" ht="15" customHeight="1" x14ac:dyDescent="0.4">
      <c r="B11" s="58" t="s">
        <v>132</v>
      </c>
      <c r="C11" s="28"/>
      <c r="D11" s="13"/>
      <c r="E11" s="28"/>
      <c r="F11" s="27"/>
      <c r="G11" s="27"/>
      <c r="H11" s="29"/>
      <c r="I11" s="29"/>
      <c r="J11" s="13"/>
      <c r="K11" s="13"/>
      <c r="L11" s="13"/>
      <c r="M11" s="29"/>
      <c r="N11" s="39"/>
    </row>
    <row r="12" spans="2:14" s="34" customFormat="1" ht="15" customHeight="1" x14ac:dyDescent="0.4">
      <c r="B12" s="58" t="s">
        <v>126</v>
      </c>
      <c r="C12" s="58">
        <f>DATE(2017,1,1)</f>
        <v>42736</v>
      </c>
      <c r="D12" s="38" t="str">
        <f>TEXT(C12,"DDD")</f>
        <v>Sun</v>
      </c>
      <c r="E12" s="33"/>
      <c r="F12" s="32"/>
      <c r="G12" s="32"/>
      <c r="H12" s="32"/>
      <c r="I12" s="32"/>
      <c r="J12" s="32"/>
      <c r="K12" s="32"/>
      <c r="L12" s="32"/>
      <c r="M12" s="32"/>
      <c r="N12" s="39"/>
    </row>
    <row r="13" spans="2:14" s="34" customFormat="1" ht="15" customHeight="1" x14ac:dyDescent="0.4">
      <c r="B13" s="55"/>
      <c r="C13" s="33"/>
      <c r="D13" s="33"/>
      <c r="E13" s="33"/>
      <c r="F13" s="32"/>
      <c r="G13" s="32"/>
      <c r="H13" s="32"/>
      <c r="I13" s="32"/>
      <c r="J13" s="32"/>
      <c r="K13" s="32"/>
      <c r="L13" s="32"/>
      <c r="M13" s="32"/>
      <c r="N13" s="39"/>
    </row>
    <row r="14" spans="2:14" s="34" customFormat="1" ht="15" customHeight="1" x14ac:dyDescent="0.4">
      <c r="B14" s="55" t="s">
        <v>130</v>
      </c>
      <c r="C14" s="33"/>
      <c r="D14" s="33"/>
      <c r="E14" s="33"/>
      <c r="F14" s="32"/>
      <c r="G14" s="32"/>
      <c r="H14" s="32"/>
      <c r="I14" s="32"/>
      <c r="J14" s="32"/>
      <c r="K14" s="32"/>
      <c r="L14" s="32"/>
      <c r="M14" s="32"/>
      <c r="N14" s="39"/>
    </row>
    <row r="15" spans="2:14" s="34" customFormat="1" ht="15" customHeight="1" x14ac:dyDescent="0.4">
      <c r="B15" s="37" t="s">
        <v>131</v>
      </c>
      <c r="C15" s="38"/>
      <c r="D15" s="33"/>
      <c r="E15" s="33"/>
      <c r="F15" s="32"/>
      <c r="G15" s="32"/>
      <c r="H15" s="32"/>
      <c r="I15" s="32"/>
      <c r="J15" s="32"/>
      <c r="K15" s="32"/>
      <c r="L15" s="32"/>
      <c r="M15" s="32"/>
      <c r="N15" s="39"/>
    </row>
    <row r="16" spans="2:14" s="34" customFormat="1" ht="15" customHeight="1" x14ac:dyDescent="0.4">
      <c r="B16" s="57" t="s">
        <v>140</v>
      </c>
      <c r="C16" s="57" t="str">
        <f>TEXT(EOMONTH(DATE($C$1,1,1),-1),"MM/DD/YY")</f>
        <v>12/31/18</v>
      </c>
      <c r="D16" s="38" t="str">
        <f>TEXT(C16,"DDD")</f>
        <v>Mon</v>
      </c>
      <c r="E16" s="33"/>
      <c r="F16" s="32"/>
      <c r="G16" s="32"/>
      <c r="H16" s="32"/>
      <c r="I16" s="32"/>
      <c r="J16" s="32"/>
      <c r="K16" s="32"/>
      <c r="L16" s="32"/>
      <c r="M16" s="32"/>
      <c r="N16" s="39"/>
    </row>
    <row r="17" spans="2:14" s="34" customFormat="1" ht="15" customHeight="1" x14ac:dyDescent="0.4">
      <c r="B17" s="57"/>
      <c r="C17" s="57"/>
      <c r="D17" s="38"/>
      <c r="E17" s="33"/>
      <c r="F17" s="32"/>
      <c r="G17" s="32"/>
      <c r="H17" s="32"/>
      <c r="I17" s="32"/>
      <c r="J17" s="32"/>
      <c r="K17" s="32"/>
      <c r="L17" s="32"/>
      <c r="M17" s="32"/>
      <c r="N17" s="39"/>
    </row>
    <row r="18" spans="2:14" s="34" customFormat="1" ht="15" customHeight="1" x14ac:dyDescent="0.4">
      <c r="B18" s="55" t="s">
        <v>138</v>
      </c>
      <c r="C18" s="57"/>
      <c r="D18" s="38"/>
      <c r="E18" s="33"/>
      <c r="F18" s="32"/>
      <c r="G18" s="32"/>
      <c r="H18" s="32"/>
      <c r="I18" s="32"/>
      <c r="J18" s="32"/>
      <c r="K18" s="32"/>
      <c r="L18" s="32"/>
      <c r="M18" s="32"/>
      <c r="N18" s="39"/>
    </row>
    <row r="19" spans="2:14" s="34" customFormat="1" ht="15" customHeight="1" x14ac:dyDescent="0.4">
      <c r="B19" s="57" t="s">
        <v>139</v>
      </c>
      <c r="C19" s="57" t="str">
        <f>TEXT(EOMONTH(DATE($C$1,1,1),-1)-5,"MM/DD/YY")</f>
        <v>12/26/18</v>
      </c>
      <c r="D19" s="38" t="str">
        <f>TEXT(C19,"DDD")</f>
        <v>Wed</v>
      </c>
      <c r="E19" s="33"/>
      <c r="F19" s="32"/>
      <c r="G19" s="32"/>
      <c r="H19" s="32"/>
      <c r="I19" s="32"/>
      <c r="J19" s="32"/>
      <c r="K19" s="32"/>
      <c r="L19" s="32"/>
      <c r="M19" s="32"/>
      <c r="N19" s="39"/>
    </row>
    <row r="20" spans="2:14" s="34" customFormat="1" ht="15" customHeight="1" x14ac:dyDescent="0.4">
      <c r="B20" s="57"/>
      <c r="C20" s="57"/>
      <c r="D20" s="38"/>
      <c r="E20" s="33"/>
      <c r="F20" s="32"/>
      <c r="G20" s="32"/>
      <c r="H20" s="32"/>
      <c r="I20" s="32"/>
      <c r="J20" s="32"/>
      <c r="K20" s="32"/>
      <c r="L20" s="32"/>
      <c r="M20" s="32"/>
      <c r="N20" s="39"/>
    </row>
    <row r="21" spans="2:14" s="34" customFormat="1" ht="15" customHeight="1" x14ac:dyDescent="0.4">
      <c r="B21" s="56" t="s">
        <v>129</v>
      </c>
      <c r="C21" s="33"/>
      <c r="D21" s="33"/>
      <c r="E21" s="33"/>
      <c r="F21" s="32"/>
      <c r="G21" s="32"/>
      <c r="H21" s="32"/>
      <c r="I21" s="32"/>
      <c r="J21" s="32"/>
      <c r="K21" s="32"/>
      <c r="L21" s="32"/>
      <c r="M21" s="32"/>
      <c r="N21" s="39"/>
    </row>
    <row r="22" spans="2:14" s="34" customFormat="1" ht="15" customHeight="1" x14ac:dyDescent="0.4">
      <c r="B22" s="57" t="s">
        <v>133</v>
      </c>
      <c r="C22" s="33"/>
      <c r="D22" s="33"/>
      <c r="E22" s="33"/>
      <c r="F22" s="32"/>
      <c r="G22" s="32"/>
      <c r="H22" s="32"/>
      <c r="I22" s="32"/>
      <c r="J22" s="32"/>
      <c r="K22" s="32"/>
      <c r="L22" s="32"/>
      <c r="M22" s="32"/>
      <c r="N22" s="39"/>
    </row>
    <row r="23" spans="2:14" s="34" customFormat="1" ht="15" customHeight="1" x14ac:dyDescent="0.4">
      <c r="B23" s="57" t="s">
        <v>141</v>
      </c>
      <c r="C23" s="38" t="str">
        <f>TEXT(CEILING(EOMONTH(DATE($C$1,1,1),-1)-5,7),"MM/DD/YY")</f>
        <v>12/29/18</v>
      </c>
      <c r="D23" s="38" t="str">
        <f>TEXT(C23,"DDD")</f>
        <v>Sat</v>
      </c>
      <c r="E23" s="33"/>
      <c r="F23" s="32"/>
      <c r="G23" s="32"/>
      <c r="H23" s="32"/>
      <c r="I23" s="32"/>
      <c r="J23" s="32"/>
      <c r="K23" s="32"/>
      <c r="L23" s="32"/>
      <c r="M23" s="32"/>
      <c r="N23" s="39"/>
    </row>
    <row r="24" spans="2:14" s="34" customFormat="1" ht="15" customHeight="1" x14ac:dyDescent="0.4">
      <c r="B24" s="57"/>
      <c r="C24" s="38"/>
      <c r="D24" s="33"/>
      <c r="E24" s="33"/>
      <c r="F24" s="32"/>
      <c r="G24" s="32"/>
      <c r="H24" s="32"/>
      <c r="I24" s="32"/>
      <c r="J24" s="32"/>
      <c r="K24" s="32"/>
      <c r="L24" s="32"/>
      <c r="M24" s="32"/>
      <c r="N24" s="39"/>
    </row>
    <row r="25" spans="2:14" s="34" customFormat="1" ht="15" customHeight="1" x14ac:dyDescent="0.4">
      <c r="B25" s="56" t="s">
        <v>142</v>
      </c>
      <c r="C25" s="33"/>
      <c r="D25" s="33"/>
      <c r="E25" s="33"/>
      <c r="F25" s="32"/>
      <c r="G25" s="32"/>
      <c r="H25" s="32"/>
      <c r="I25" s="32"/>
      <c r="J25" s="32"/>
      <c r="K25" s="32"/>
      <c r="L25" s="32"/>
      <c r="M25" s="32"/>
      <c r="N25" s="39"/>
    </row>
    <row r="26" spans="2:14" s="34" customFormat="1" ht="15" customHeight="1" x14ac:dyDescent="0.4">
      <c r="B26" s="57" t="s">
        <v>136</v>
      </c>
      <c r="C26" s="38" t="str">
        <f>TEXT(CEILING(DATE(2019,1,1)+6,7),"MM/DD/YY")</f>
        <v>01/12/19</v>
      </c>
      <c r="D26" s="38" t="str">
        <f>TEXT(C26,"DDD")</f>
        <v>Sat</v>
      </c>
      <c r="E26" s="33"/>
      <c r="F26" s="32"/>
      <c r="G26" s="32"/>
      <c r="H26" s="32"/>
      <c r="I26" s="32"/>
      <c r="J26" s="32"/>
      <c r="K26" s="32"/>
      <c r="L26" s="32"/>
      <c r="M26" s="32"/>
      <c r="N26" s="39"/>
    </row>
    <row r="27" spans="2:14" s="34" customFormat="1" ht="15" customHeight="1" x14ac:dyDescent="0.4">
      <c r="B27" s="32"/>
      <c r="C27" s="33"/>
      <c r="D27" s="33"/>
      <c r="E27" s="33"/>
      <c r="F27" s="32"/>
      <c r="G27" s="32"/>
      <c r="H27" s="32"/>
      <c r="I27" s="32"/>
      <c r="J27" s="32"/>
      <c r="K27" s="32"/>
      <c r="L27" s="32"/>
      <c r="M27" s="32"/>
      <c r="N27" s="39"/>
    </row>
    <row r="28" spans="2:14" s="34" customFormat="1" ht="15" customHeight="1" x14ac:dyDescent="0.4">
      <c r="B28" s="56" t="s">
        <v>134</v>
      </c>
      <c r="C28" s="33"/>
      <c r="D28" s="33"/>
      <c r="E28" s="33"/>
      <c r="F28" s="32"/>
      <c r="G28" s="32"/>
      <c r="H28" s="32"/>
      <c r="I28" s="32"/>
      <c r="J28" s="32"/>
      <c r="K28" s="32"/>
      <c r="L28" s="32"/>
      <c r="M28" s="32"/>
      <c r="N28" s="39"/>
    </row>
    <row r="29" spans="2:14" s="34" customFormat="1" ht="15" customHeight="1" x14ac:dyDescent="0.4">
      <c r="B29" s="37" t="s">
        <v>135</v>
      </c>
      <c r="C29" s="33"/>
      <c r="D29" s="33"/>
      <c r="E29" s="33"/>
      <c r="F29" s="32"/>
      <c r="G29" s="32"/>
      <c r="H29" s="32"/>
      <c r="I29" s="32"/>
      <c r="J29" s="32"/>
      <c r="K29" s="32"/>
      <c r="L29" s="32"/>
      <c r="M29" s="32"/>
      <c r="N29" s="39"/>
    </row>
    <row r="30" spans="2:14" s="34" customFormat="1" ht="15" customHeight="1" x14ac:dyDescent="0.4">
      <c r="B30" s="57" t="s">
        <v>143</v>
      </c>
      <c r="C30" s="57" t="str">
        <f>TEXT(WORKDAY(CEILING(EOMONTH(DATE($C$1,1,1),-1)-5,7)+6-1,1),"MM/DD/YY")</f>
        <v>01/04/19</v>
      </c>
      <c r="D30" s="38" t="str">
        <f>TEXT(C30,"DDD")</f>
        <v>Fri</v>
      </c>
      <c r="E30" s="33"/>
      <c r="F30" s="32"/>
      <c r="G30" s="32"/>
      <c r="H30" s="32"/>
      <c r="I30" s="32"/>
      <c r="J30" s="32"/>
      <c r="K30" s="32"/>
      <c r="L30" s="32"/>
      <c r="M30" s="32"/>
      <c r="N30" s="39"/>
    </row>
    <row r="31" spans="2:14" s="34" customFormat="1" ht="15" customHeight="1" x14ac:dyDescent="0.4">
      <c r="B31" s="32"/>
      <c r="C31" s="33"/>
      <c r="D31" s="33"/>
      <c r="E31" s="33"/>
      <c r="F31" s="32"/>
      <c r="G31" s="32"/>
      <c r="H31" s="32"/>
      <c r="I31" s="32"/>
      <c r="J31" s="32"/>
      <c r="K31" s="32"/>
      <c r="L31" s="32"/>
      <c r="M31" s="32"/>
      <c r="N31" s="39"/>
    </row>
    <row r="32" spans="2:14" s="34" customFormat="1" ht="15" customHeight="1" x14ac:dyDescent="0.4">
      <c r="B32" s="32"/>
      <c r="C32" s="33"/>
      <c r="D32" s="33"/>
      <c r="E32" s="33"/>
      <c r="F32" s="32"/>
      <c r="G32" s="32"/>
      <c r="H32" s="32"/>
      <c r="I32" s="32"/>
      <c r="J32" s="32"/>
      <c r="K32" s="32"/>
      <c r="L32" s="32"/>
      <c r="M32" s="32"/>
      <c r="N32" s="39"/>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1A950-1275-4EC5-95E2-470DB98D2850}">
  <sheetPr codeName="Sheet6">
    <tabColor rgb="FF0070C0"/>
  </sheetPr>
  <dimension ref="A2"/>
  <sheetViews>
    <sheetView showGridLines="0" workbookViewId="0"/>
  </sheetViews>
  <sheetFormatPr defaultRowHeight="14.6" x14ac:dyDescent="0.4"/>
  <cols>
    <col min="1" max="1" width="21.07421875" bestFit="1" customWidth="1"/>
  </cols>
  <sheetData>
    <row r="2" spans="1:1" x14ac:dyDescent="0.4">
      <c r="A2" s="51" t="s">
        <v>167</v>
      </c>
    </row>
  </sheetData>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ALL">
                <anchor moveWithCells="1" sizeWithCells="1">
                  <from>
                    <xdr:col>1</xdr:col>
                    <xdr:colOff>48986</xdr:colOff>
                    <xdr:row>1</xdr:row>
                    <xdr:rowOff>48986</xdr:rowOff>
                  </from>
                  <to>
                    <xdr:col>3</xdr:col>
                    <xdr:colOff>555171</xdr:colOff>
                    <xdr:row>2</xdr:row>
                    <xdr:rowOff>179614</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sheetPr>
  <dimension ref="A1:M231"/>
  <sheetViews>
    <sheetView showGridLines="0" zoomScale="95" zoomScaleNormal="95" workbookViewId="0">
      <pane ySplit="3" topLeftCell="A4" activePane="bottomLeft" state="frozen"/>
      <selection pane="bottomLeft"/>
    </sheetView>
  </sheetViews>
  <sheetFormatPr defaultRowHeight="15" customHeight="1" x14ac:dyDescent="0.4"/>
  <cols>
    <col min="1" max="1" width="15.3046875" customWidth="1"/>
    <col min="2" max="2" width="14.53515625" bestFit="1" customWidth="1"/>
    <col min="3" max="3" width="8.53515625" bestFit="1" customWidth="1"/>
    <col min="4" max="4" width="16.84375" bestFit="1" customWidth="1"/>
    <col min="5" max="5" width="13.69140625" customWidth="1"/>
    <col min="6" max="6" width="9.53515625" customWidth="1"/>
    <col min="7" max="7" width="30.84375" customWidth="1"/>
    <col min="8" max="8" width="9.69140625" customWidth="1"/>
    <col min="9" max="9" width="14" customWidth="1"/>
    <col min="10" max="10" width="15.3828125" customWidth="1"/>
    <col min="11" max="11" width="11.69140625" customWidth="1"/>
    <col min="12" max="12" width="39.15234375" customWidth="1"/>
    <col min="13" max="13" width="24.3828125" style="43" customWidth="1"/>
  </cols>
  <sheetData>
    <row r="1" spans="1:13" s="13" customFormat="1" ht="15" customHeight="1" x14ac:dyDescent="0.4">
      <c r="A1" s="25" t="s">
        <v>123</v>
      </c>
      <c r="B1" s="26">
        <v>2019</v>
      </c>
      <c r="F1" s="25"/>
      <c r="G1" s="25"/>
      <c r="H1" s="25"/>
      <c r="I1" s="25"/>
      <c r="J1" s="25"/>
      <c r="K1" s="25"/>
      <c r="L1" s="25"/>
    </row>
    <row r="2" spans="1:13" s="13" customFormat="1" ht="15" customHeight="1" x14ac:dyDescent="0.4">
      <c r="A2" s="25" t="s">
        <v>124</v>
      </c>
      <c r="B2" s="46">
        <f ca="1">TODAY()</f>
        <v>43625</v>
      </c>
      <c r="C2" s="25"/>
      <c r="D2" s="25"/>
      <c r="E2" s="25"/>
      <c r="F2" s="25"/>
      <c r="G2" s="25"/>
      <c r="H2" s="25"/>
      <c r="I2" s="25"/>
      <c r="J2" s="25"/>
      <c r="K2" s="25"/>
      <c r="L2" s="25"/>
    </row>
    <row r="3" spans="1:13" s="14" customFormat="1" ht="15" customHeight="1" x14ac:dyDescent="0.4">
      <c r="A3" s="52" t="s">
        <v>112</v>
      </c>
      <c r="B3" s="53" t="s">
        <v>11</v>
      </c>
      <c r="C3" s="54" t="s">
        <v>30</v>
      </c>
      <c r="D3" s="54" t="s">
        <v>51</v>
      </c>
      <c r="E3" s="53" t="s">
        <v>5</v>
      </c>
      <c r="F3" s="53" t="s">
        <v>42</v>
      </c>
      <c r="G3" s="53" t="s">
        <v>41</v>
      </c>
      <c r="H3" s="53" t="s">
        <v>8</v>
      </c>
      <c r="I3" s="53" t="s">
        <v>31</v>
      </c>
      <c r="J3" s="53" t="s">
        <v>32</v>
      </c>
      <c r="K3" s="53" t="s">
        <v>34</v>
      </c>
      <c r="L3" s="52" t="s">
        <v>83</v>
      </c>
      <c r="M3" s="52" t="s">
        <v>79</v>
      </c>
    </row>
    <row r="4" spans="1:13" s="11" customFormat="1" ht="15" customHeight="1" x14ac:dyDescent="0.4">
      <c r="A4" s="23" t="b">
        <f ca="1">TODAY()&gt;=DATE(YEAR(B4),MONTH(B4),DAY(B4))</f>
        <v>1</v>
      </c>
      <c r="B4" s="62" t="str">
        <f t="array" ref="B4">TEXT(WORKDAY(CEILING(EOMONTH(DATE($B$1,1,1),-1)-5,7)+6-1,1,IF('Holiday (Dates to Exclude)'!$D:$D=VLOOKUP($G4,'Holiday (Dates to Exclude)'!$A:$B,2,0),'Holiday (Dates to Exclude)'!$E:$E,)),"MM/DD/YY")</f>
        <v>01/04/19</v>
      </c>
      <c r="C4" s="63" t="str">
        <f>TEXT(B4,"ddd")</f>
        <v>Fri</v>
      </c>
      <c r="D4" s="64" t="str">
        <f>TEXT($B4,"MMM YYYY")</f>
        <v>Jan 2019</v>
      </c>
      <c r="E4" s="62" t="s">
        <v>170</v>
      </c>
      <c r="F4" s="62" t="s">
        <v>44</v>
      </c>
      <c r="G4" s="65" t="s">
        <v>148</v>
      </c>
      <c r="H4" s="64" t="str">
        <f>TEXT(EDATE($B4,-1),"MMM")</f>
        <v>Dec</v>
      </c>
      <c r="I4" s="64" t="str">
        <f>TEXT(EOMONTH($B4,-1),"MM")</f>
        <v>12</v>
      </c>
      <c r="J4" s="64">
        <f>YEAR(B4)</f>
        <v>2019</v>
      </c>
      <c r="K4" s="65" t="s">
        <v>35</v>
      </c>
      <c r="L4" s="39" t="s">
        <v>82</v>
      </c>
      <c r="M4" s="23"/>
    </row>
    <row r="5" spans="1:13" s="13" customFormat="1" ht="15" customHeight="1" x14ac:dyDescent="0.4">
      <c r="A5" s="23" t="b">
        <f t="shared" ref="A5:A68" ca="1" si="0">TODAY()&gt;=DATE(YEAR(B5),MONTH(B5),DAY(B5))</f>
        <v>1</v>
      </c>
      <c r="B5" s="64" t="str">
        <f t="array" ref="B5">TEXT(WORKDAY(CEILING(EOMONTH(DATE($B$1,2,1),-1)-5,7)+6-1,1,IF('Holiday (Dates to Exclude)'!$D:$D=VLOOKUP($G5,'Holiday (Dates to Exclude)'!$A:$B,2,0),'Holiday (Dates to Exclude)'!$E:$E,)),"MM/DD/YY")</f>
        <v>02/01/19</v>
      </c>
      <c r="C5" s="64" t="str">
        <f>TEXT($B5,"DDD")</f>
        <v>Fri</v>
      </c>
      <c r="D5" s="64" t="str">
        <f>TEXT($B5,"MMM YYYY")</f>
        <v>Feb 2019</v>
      </c>
      <c r="E5" s="64" t="str">
        <f t="shared" ref="E5:E15" si="1">$E$4</f>
        <v>Project 1</v>
      </c>
      <c r="F5" s="64" t="str">
        <f t="shared" ref="F5:F15" si="2">$F$4</f>
        <v>Monthly</v>
      </c>
      <c r="G5" s="64" t="str">
        <f t="shared" ref="G5:G15" si="3">$G$4</f>
        <v>Owner E</v>
      </c>
      <c r="H5" s="64" t="str">
        <f>TEXT(EDATE($B5,-1),"MMM")</f>
        <v>Jan</v>
      </c>
      <c r="I5" s="64" t="str">
        <f>TEXT(EOMONTH($B5,-1),"MM")</f>
        <v>01</v>
      </c>
      <c r="J5" s="64">
        <f>YEAR(B5)</f>
        <v>2019</v>
      </c>
      <c r="K5" s="64" t="str">
        <f t="shared" ref="K5:K15" si="4">$K$4</f>
        <v>1st Friday of each month</v>
      </c>
      <c r="L5" s="39" t="s">
        <v>82</v>
      </c>
      <c r="M5" s="64"/>
    </row>
    <row r="6" spans="1:13" s="13" customFormat="1" ht="15" customHeight="1" x14ac:dyDescent="0.4">
      <c r="A6" s="23" t="b">
        <f t="shared" ca="1" si="0"/>
        <v>1</v>
      </c>
      <c r="B6" s="64" t="str">
        <f t="array" ref="B6">TEXT(WORKDAY(CEILING(EOMONTH(DATE($B$1,3,1),-1)-5,7)+6-1,1,IF('Holiday (Dates to Exclude)'!$D:$D=VLOOKUP($G6,'Holiday (Dates to Exclude)'!$A:$B,2,0),'Holiday (Dates to Exclude)'!$E:$E,)),"MM/DD/YY")</f>
        <v>03/01/19</v>
      </c>
      <c r="C6" s="64" t="str">
        <f t="shared" ref="C6:C15" si="5">TEXT($B6,"DDD")</f>
        <v>Fri</v>
      </c>
      <c r="D6" s="64" t="str">
        <f t="shared" ref="D6:D15" si="6">TEXT(B6,"MMM YYYY")</f>
        <v>Mar 2019</v>
      </c>
      <c r="E6" s="64" t="str">
        <f t="shared" si="1"/>
        <v>Project 1</v>
      </c>
      <c r="F6" s="64" t="str">
        <f t="shared" si="2"/>
        <v>Monthly</v>
      </c>
      <c r="G6" s="64" t="str">
        <f t="shared" si="3"/>
        <v>Owner E</v>
      </c>
      <c r="H6" s="64" t="str">
        <f t="shared" ref="H6:H15" si="7">TEXT(EDATE($B6,-1),"MMM")</f>
        <v>Feb</v>
      </c>
      <c r="I6" s="64" t="str">
        <f t="shared" ref="I6:I15" si="8">TEXT(EOMONTH($B6,-1),"MM")</f>
        <v>02</v>
      </c>
      <c r="J6" s="64">
        <f t="shared" ref="J6:J15" si="9">YEAR(B6)</f>
        <v>2019</v>
      </c>
      <c r="K6" s="64" t="str">
        <f t="shared" si="4"/>
        <v>1st Friday of each month</v>
      </c>
      <c r="L6" s="39" t="s">
        <v>82</v>
      </c>
      <c r="M6" s="64"/>
    </row>
    <row r="7" spans="1:13" s="13" customFormat="1" ht="15" customHeight="1" x14ac:dyDescent="0.4">
      <c r="A7" s="23" t="b">
        <f t="shared" ca="1" si="0"/>
        <v>1</v>
      </c>
      <c r="B7" s="64" t="str">
        <f t="array" ref="B7">TEXT(WORKDAY(CEILING(EOMONTH(DATE($B$1,4,1),-1)-5,7)+6-1,1,IF('Holiday (Dates to Exclude)'!$D:$D=VLOOKUP($G7,'Holiday (Dates to Exclude)'!$A:$B,2,0),'Holiday (Dates to Exclude)'!$E:$E,)),"MM/DD/YY")</f>
        <v>04/05/19</v>
      </c>
      <c r="C7" s="64" t="str">
        <f t="shared" si="5"/>
        <v>Fri</v>
      </c>
      <c r="D7" s="64" t="str">
        <f t="shared" si="6"/>
        <v>Apr 2019</v>
      </c>
      <c r="E7" s="64" t="str">
        <f t="shared" si="1"/>
        <v>Project 1</v>
      </c>
      <c r="F7" s="64" t="str">
        <f t="shared" si="2"/>
        <v>Monthly</v>
      </c>
      <c r="G7" s="64" t="str">
        <f t="shared" si="3"/>
        <v>Owner E</v>
      </c>
      <c r="H7" s="64" t="str">
        <f t="shared" si="7"/>
        <v>Mar</v>
      </c>
      <c r="I7" s="64" t="str">
        <f t="shared" si="8"/>
        <v>03</v>
      </c>
      <c r="J7" s="64">
        <f t="shared" si="9"/>
        <v>2019</v>
      </c>
      <c r="K7" s="64" t="str">
        <f t="shared" si="4"/>
        <v>1st Friday of each month</v>
      </c>
      <c r="L7" s="39" t="s">
        <v>82</v>
      </c>
      <c r="M7" s="64"/>
    </row>
    <row r="8" spans="1:13" s="13" customFormat="1" ht="15" customHeight="1" x14ac:dyDescent="0.4">
      <c r="A8" s="23" t="b">
        <f t="shared" ca="1" si="0"/>
        <v>1</v>
      </c>
      <c r="B8" s="64" t="str">
        <f t="array" ref="B8">TEXT(WORKDAY(CEILING(EOMONTH(DATE($B$1,5,1),-1)-5,7)+6-1,1,IF('Holiday (Dates to Exclude)'!$D:$D=VLOOKUP($G8,'Holiday (Dates to Exclude)'!$A:$B,2,0),'Holiday (Dates to Exclude)'!$E:$E,)),"MM/DD/YY")</f>
        <v>05/03/19</v>
      </c>
      <c r="C8" s="64" t="str">
        <f t="shared" si="5"/>
        <v>Fri</v>
      </c>
      <c r="D8" s="64" t="str">
        <f t="shared" si="6"/>
        <v>May 2019</v>
      </c>
      <c r="E8" s="64" t="str">
        <f t="shared" si="1"/>
        <v>Project 1</v>
      </c>
      <c r="F8" s="64" t="str">
        <f t="shared" si="2"/>
        <v>Monthly</v>
      </c>
      <c r="G8" s="64" t="str">
        <f t="shared" si="3"/>
        <v>Owner E</v>
      </c>
      <c r="H8" s="64" t="str">
        <f t="shared" si="7"/>
        <v>Apr</v>
      </c>
      <c r="I8" s="64" t="str">
        <f t="shared" si="8"/>
        <v>04</v>
      </c>
      <c r="J8" s="64">
        <f t="shared" si="9"/>
        <v>2019</v>
      </c>
      <c r="K8" s="64" t="str">
        <f t="shared" si="4"/>
        <v>1st Friday of each month</v>
      </c>
      <c r="L8" s="39" t="s">
        <v>82</v>
      </c>
      <c r="M8" s="64"/>
    </row>
    <row r="9" spans="1:13" s="13" customFormat="1" ht="15" customHeight="1" x14ac:dyDescent="0.4">
      <c r="A9" s="23" t="b">
        <f t="shared" ca="1" si="0"/>
        <v>1</v>
      </c>
      <c r="B9" s="64" t="str">
        <f t="array" ref="B9">TEXT(WORKDAY(CEILING(EOMONTH(DATE($B$1,6,1),-1)-5,7)+6-1,1,IF('Holiday (Dates to Exclude)'!$D:$D=VLOOKUP($G9,'Holiday (Dates to Exclude)'!$A:$B,2,0),'Holiday (Dates to Exclude)'!$E:$E,)),"MM/DD/YY")</f>
        <v>06/07/19</v>
      </c>
      <c r="C9" s="64" t="str">
        <f t="shared" si="5"/>
        <v>Fri</v>
      </c>
      <c r="D9" s="64" t="str">
        <f t="shared" si="6"/>
        <v>Jun 2019</v>
      </c>
      <c r="E9" s="64" t="str">
        <f t="shared" si="1"/>
        <v>Project 1</v>
      </c>
      <c r="F9" s="64" t="str">
        <f t="shared" si="2"/>
        <v>Monthly</v>
      </c>
      <c r="G9" s="64" t="str">
        <f t="shared" si="3"/>
        <v>Owner E</v>
      </c>
      <c r="H9" s="64" t="str">
        <f t="shared" si="7"/>
        <v>May</v>
      </c>
      <c r="I9" s="64" t="str">
        <f t="shared" si="8"/>
        <v>05</v>
      </c>
      <c r="J9" s="64">
        <f t="shared" si="9"/>
        <v>2019</v>
      </c>
      <c r="K9" s="64" t="str">
        <f t="shared" si="4"/>
        <v>1st Friday of each month</v>
      </c>
      <c r="L9" s="39" t="s">
        <v>82</v>
      </c>
      <c r="M9" s="64"/>
    </row>
    <row r="10" spans="1:13" s="13" customFormat="1" ht="15" customHeight="1" x14ac:dyDescent="0.4">
      <c r="A10" s="23" t="b">
        <f t="shared" ca="1" si="0"/>
        <v>0</v>
      </c>
      <c r="B10" s="64" t="str">
        <f t="array" ref="B10">TEXT(WORKDAY(CEILING(EOMONTH(DATE($B$1,7,1),-1)-5,7)+6-1,1,IF('Holiday (Dates to Exclude)'!$D:$D=VLOOKUP($G10,'Holiday (Dates to Exclude)'!$A:$B,2,0),'Holiday (Dates to Exclude)'!$E:$E,)),"MM/DD/YY")</f>
        <v>07/05/19</v>
      </c>
      <c r="C10" s="64" t="str">
        <f t="shared" si="5"/>
        <v>Fri</v>
      </c>
      <c r="D10" s="64" t="str">
        <f t="shared" si="6"/>
        <v>Jul 2019</v>
      </c>
      <c r="E10" s="64" t="str">
        <f t="shared" si="1"/>
        <v>Project 1</v>
      </c>
      <c r="F10" s="64" t="str">
        <f t="shared" si="2"/>
        <v>Monthly</v>
      </c>
      <c r="G10" s="64" t="str">
        <f t="shared" si="3"/>
        <v>Owner E</v>
      </c>
      <c r="H10" s="64" t="str">
        <f t="shared" si="7"/>
        <v>Jun</v>
      </c>
      <c r="I10" s="64" t="str">
        <f t="shared" si="8"/>
        <v>06</v>
      </c>
      <c r="J10" s="64">
        <f t="shared" si="9"/>
        <v>2019</v>
      </c>
      <c r="K10" s="64" t="str">
        <f t="shared" si="4"/>
        <v>1st Friday of each month</v>
      </c>
      <c r="L10" s="39" t="s">
        <v>82</v>
      </c>
      <c r="M10" s="64"/>
    </row>
    <row r="11" spans="1:13" s="13" customFormat="1" ht="15" customHeight="1" x14ac:dyDescent="0.4">
      <c r="A11" s="23" t="b">
        <f t="shared" ca="1" si="0"/>
        <v>0</v>
      </c>
      <c r="B11" s="64" t="str">
        <f t="array" ref="B11">TEXT(WORKDAY(CEILING(EOMONTH(DATE($B$1,8,1),-1)-5,7)+6-1,1,IF('Holiday (Dates to Exclude)'!$D:$D=VLOOKUP($G11,'Holiday (Dates to Exclude)'!$A:$B,2,0),'Holiday (Dates to Exclude)'!$E:$E,)),"MM/DD/YY")</f>
        <v>08/02/19</v>
      </c>
      <c r="C11" s="64" t="str">
        <f t="shared" si="5"/>
        <v>Fri</v>
      </c>
      <c r="D11" s="64" t="str">
        <f t="shared" si="6"/>
        <v>Aug 2019</v>
      </c>
      <c r="E11" s="64" t="str">
        <f t="shared" si="1"/>
        <v>Project 1</v>
      </c>
      <c r="F11" s="64" t="str">
        <f t="shared" si="2"/>
        <v>Monthly</v>
      </c>
      <c r="G11" s="64" t="str">
        <f t="shared" si="3"/>
        <v>Owner E</v>
      </c>
      <c r="H11" s="64" t="str">
        <f t="shared" si="7"/>
        <v>Jul</v>
      </c>
      <c r="I11" s="64" t="str">
        <f t="shared" si="8"/>
        <v>07</v>
      </c>
      <c r="J11" s="64">
        <f t="shared" si="9"/>
        <v>2019</v>
      </c>
      <c r="K11" s="64" t="str">
        <f t="shared" si="4"/>
        <v>1st Friday of each month</v>
      </c>
      <c r="L11" s="39" t="s">
        <v>82</v>
      </c>
      <c r="M11" s="64"/>
    </row>
    <row r="12" spans="1:13" s="13" customFormat="1" ht="15" customHeight="1" x14ac:dyDescent="0.4">
      <c r="A12" s="23" t="b">
        <f t="shared" ca="1" si="0"/>
        <v>0</v>
      </c>
      <c r="B12" s="64" t="str">
        <f t="array" ref="B12">TEXT(WORKDAY(CEILING(EOMONTH(DATE($B$1,9,1),-1)-5,7)+6-1,1,IF('Holiday (Dates to Exclude)'!$D:$D=VLOOKUP($G12,'Holiday (Dates to Exclude)'!$A:$B,2,0),'Holiday (Dates to Exclude)'!$E:$E,)),"MM/DD/YY")</f>
        <v>09/06/19</v>
      </c>
      <c r="C12" s="64" t="str">
        <f t="shared" si="5"/>
        <v>Fri</v>
      </c>
      <c r="D12" s="64" t="str">
        <f t="shared" si="6"/>
        <v>Sep 2019</v>
      </c>
      <c r="E12" s="64" t="str">
        <f t="shared" si="1"/>
        <v>Project 1</v>
      </c>
      <c r="F12" s="64" t="str">
        <f t="shared" si="2"/>
        <v>Monthly</v>
      </c>
      <c r="G12" s="64" t="str">
        <f t="shared" si="3"/>
        <v>Owner E</v>
      </c>
      <c r="H12" s="64" t="str">
        <f t="shared" si="7"/>
        <v>Aug</v>
      </c>
      <c r="I12" s="64" t="str">
        <f t="shared" si="8"/>
        <v>08</v>
      </c>
      <c r="J12" s="64">
        <f t="shared" si="9"/>
        <v>2019</v>
      </c>
      <c r="K12" s="64" t="str">
        <f t="shared" si="4"/>
        <v>1st Friday of each month</v>
      </c>
      <c r="L12" s="39" t="s">
        <v>82</v>
      </c>
      <c r="M12" s="64"/>
    </row>
    <row r="13" spans="1:13" s="13" customFormat="1" ht="15" customHeight="1" x14ac:dyDescent="0.4">
      <c r="A13" s="23" t="b">
        <f t="shared" ca="1" si="0"/>
        <v>0</v>
      </c>
      <c r="B13" s="64" t="str">
        <f t="array" ref="B13">TEXT(WORKDAY(CEILING(EOMONTH(DATE($B$1,10,1),-1)-5,7)+6-1,1,IF('Holiday (Dates to Exclude)'!$D:$D=VLOOKUP($G13,'Holiday (Dates to Exclude)'!$A:$B,2,0),'Holiday (Dates to Exclude)'!$E:$E,)),"MM/DD/YY")</f>
        <v>10/04/19</v>
      </c>
      <c r="C13" s="64" t="str">
        <f t="shared" si="5"/>
        <v>Fri</v>
      </c>
      <c r="D13" s="64" t="str">
        <f t="shared" si="6"/>
        <v>Oct 2019</v>
      </c>
      <c r="E13" s="64" t="str">
        <f t="shared" si="1"/>
        <v>Project 1</v>
      </c>
      <c r="F13" s="64" t="str">
        <f t="shared" si="2"/>
        <v>Monthly</v>
      </c>
      <c r="G13" s="64" t="str">
        <f t="shared" si="3"/>
        <v>Owner E</v>
      </c>
      <c r="H13" s="64" t="str">
        <f t="shared" si="7"/>
        <v>Sep</v>
      </c>
      <c r="I13" s="64" t="str">
        <f t="shared" si="8"/>
        <v>09</v>
      </c>
      <c r="J13" s="64">
        <f t="shared" si="9"/>
        <v>2019</v>
      </c>
      <c r="K13" s="64" t="str">
        <f t="shared" si="4"/>
        <v>1st Friday of each month</v>
      </c>
      <c r="L13" s="39" t="s">
        <v>82</v>
      </c>
      <c r="M13" s="64"/>
    </row>
    <row r="14" spans="1:13" s="13" customFormat="1" ht="15" customHeight="1" x14ac:dyDescent="0.4">
      <c r="A14" s="23" t="b">
        <f t="shared" ca="1" si="0"/>
        <v>0</v>
      </c>
      <c r="B14" s="64" t="str">
        <f t="array" ref="B14">TEXT(WORKDAY(CEILING(EOMONTH(DATE($B$1,11,1),-1)-5,7)+6-1,1,IF('Holiday (Dates to Exclude)'!$D:$D=VLOOKUP($G14,'Holiday (Dates to Exclude)'!$A:$B,2,0),'Holiday (Dates to Exclude)'!$E:$E,)),"MM/DD/YY")</f>
        <v>11/01/19</v>
      </c>
      <c r="C14" s="64" t="str">
        <f t="shared" si="5"/>
        <v>Fri</v>
      </c>
      <c r="D14" s="64" t="str">
        <f t="shared" si="6"/>
        <v>Nov 2019</v>
      </c>
      <c r="E14" s="64" t="str">
        <f t="shared" si="1"/>
        <v>Project 1</v>
      </c>
      <c r="F14" s="64" t="str">
        <f t="shared" si="2"/>
        <v>Monthly</v>
      </c>
      <c r="G14" s="64" t="str">
        <f t="shared" si="3"/>
        <v>Owner E</v>
      </c>
      <c r="H14" s="64" t="str">
        <f t="shared" si="7"/>
        <v>Oct</v>
      </c>
      <c r="I14" s="64" t="str">
        <f t="shared" si="8"/>
        <v>10</v>
      </c>
      <c r="J14" s="64">
        <f t="shared" si="9"/>
        <v>2019</v>
      </c>
      <c r="K14" s="64" t="str">
        <f t="shared" si="4"/>
        <v>1st Friday of each month</v>
      </c>
      <c r="L14" s="39" t="s">
        <v>82</v>
      </c>
      <c r="M14" s="64"/>
    </row>
    <row r="15" spans="1:13" s="13" customFormat="1" ht="15" customHeight="1" x14ac:dyDescent="0.4">
      <c r="A15" s="23" t="b">
        <f t="shared" ca="1" si="0"/>
        <v>0</v>
      </c>
      <c r="B15" s="64" t="str">
        <f t="array" ref="B15">TEXT(WORKDAY(CEILING(EOMONTH(DATE($B$1,12,1),-1)-5,7)+6-1,1,IF('Holiday (Dates to Exclude)'!$D:$D=VLOOKUP($G15,'Holiday (Dates to Exclude)'!$A:$B,2,0),'Holiday (Dates to Exclude)'!$E:$E,)),"MM/DD/YY")</f>
        <v>12/06/19</v>
      </c>
      <c r="C15" s="64" t="str">
        <f t="shared" si="5"/>
        <v>Fri</v>
      </c>
      <c r="D15" s="64" t="str">
        <f t="shared" si="6"/>
        <v>Dec 2019</v>
      </c>
      <c r="E15" s="64" t="str">
        <f t="shared" si="1"/>
        <v>Project 1</v>
      </c>
      <c r="F15" s="64" t="str">
        <f t="shared" si="2"/>
        <v>Monthly</v>
      </c>
      <c r="G15" s="64" t="str">
        <f t="shared" si="3"/>
        <v>Owner E</v>
      </c>
      <c r="H15" s="64" t="str">
        <f t="shared" si="7"/>
        <v>Nov</v>
      </c>
      <c r="I15" s="64" t="str">
        <f t="shared" si="8"/>
        <v>11</v>
      </c>
      <c r="J15" s="64">
        <f t="shared" si="9"/>
        <v>2019</v>
      </c>
      <c r="K15" s="64" t="str">
        <f t="shared" si="4"/>
        <v>1st Friday of each month</v>
      </c>
      <c r="L15" s="39" t="s">
        <v>82</v>
      </c>
      <c r="M15" s="64"/>
    </row>
    <row r="16" spans="1:13" s="39" customFormat="1" ht="15" customHeight="1" x14ac:dyDescent="0.4">
      <c r="A16" s="23" t="b">
        <f t="shared" ca="1" si="0"/>
        <v>1</v>
      </c>
      <c r="B16" s="37" t="str">
        <f t="array" ref="B16">TEXT(WORKDAY(DATE($B$1,1,10)-1,1,IF('Holiday (Dates to Exclude)'!$D:$D=VLOOKUP($G16,'Holiday (Dates to Exclude)'!$A:$B,2,0),'Holiday (Dates to Exclude)'!$E:$E,)),"MM/DD/YY")</f>
        <v>01/10/19</v>
      </c>
      <c r="C16" s="64" t="str">
        <f t="shared" ref="C16:C27" si="10">TEXT($B16,"DDD")</f>
        <v>Thu</v>
      </c>
      <c r="D16" s="64" t="str">
        <f t="shared" ref="D16:D27" si="11">TEXT(B16,"MMM YYYY")</f>
        <v>Jan 2019</v>
      </c>
      <c r="E16" s="37" t="s">
        <v>171</v>
      </c>
      <c r="F16" s="37" t="s">
        <v>44</v>
      </c>
      <c r="G16" s="37" t="s">
        <v>160</v>
      </c>
      <c r="H16" s="64" t="str">
        <f>TEXT(EDATE($B16,-2),"MMM")</f>
        <v>Nov</v>
      </c>
      <c r="I16" s="64" t="str">
        <f>TEXT(EOMONTH($B16,-2),"MM")</f>
        <v>11</v>
      </c>
      <c r="J16" s="64">
        <f t="shared" ref="J16:J27" si="12">YEAR(B16)</f>
        <v>2019</v>
      </c>
      <c r="K16" s="37" t="s">
        <v>40</v>
      </c>
      <c r="L16" s="39" t="s">
        <v>82</v>
      </c>
    </row>
    <row r="17" spans="1:13" s="34" customFormat="1" ht="15" customHeight="1" x14ac:dyDescent="0.4">
      <c r="A17" s="23" t="b">
        <f t="shared" ca="1" si="0"/>
        <v>1</v>
      </c>
      <c r="B17" s="37" t="str">
        <f t="array" ref="B17">TEXT(WORKDAY(DATE($B$1,2,10)-1,1,IF('Holiday (Dates to Exclude)'!$D:$D=VLOOKUP($G17,'Holiday (Dates to Exclude)'!$A:$B,2,0),'Holiday (Dates to Exclude)'!$E:$E,)),"MM/DD/YY")</f>
        <v>02/11/19</v>
      </c>
      <c r="C17" s="64" t="str">
        <f t="shared" si="10"/>
        <v>Mon</v>
      </c>
      <c r="D17" s="64" t="str">
        <f t="shared" si="11"/>
        <v>Feb 2019</v>
      </c>
      <c r="E17" s="37" t="s">
        <v>171</v>
      </c>
      <c r="F17" s="37" t="s">
        <v>44</v>
      </c>
      <c r="G17" s="37" t="s">
        <v>160</v>
      </c>
      <c r="H17" s="64" t="str">
        <f t="shared" ref="H17:H27" si="13">TEXT(EDATE($B17,-2),"MMM")</f>
        <v>Dec</v>
      </c>
      <c r="I17" s="64" t="str">
        <f t="shared" ref="I17:I27" si="14">TEXT(EOMONTH($B17,-2),"MM")</f>
        <v>12</v>
      </c>
      <c r="J17" s="64">
        <f t="shared" si="12"/>
        <v>2019</v>
      </c>
      <c r="K17" s="37" t="s">
        <v>40</v>
      </c>
      <c r="L17" s="39" t="s">
        <v>82</v>
      </c>
    </row>
    <row r="18" spans="1:13" s="34" customFormat="1" ht="15" customHeight="1" x14ac:dyDescent="0.4">
      <c r="A18" s="23" t="b">
        <f t="shared" ca="1" si="0"/>
        <v>1</v>
      </c>
      <c r="B18" s="37" t="str">
        <f t="array" ref="B18">TEXT(WORKDAY(DATE($B$1,3,10)-1,1,IF('Holiday (Dates to Exclude)'!$D:$D=VLOOKUP($G18,'Holiday (Dates to Exclude)'!$A:$B,2,0),'Holiday (Dates to Exclude)'!$E:$E,)),"MM/DD/YY")</f>
        <v>03/11/19</v>
      </c>
      <c r="C18" s="64" t="str">
        <f t="shared" si="10"/>
        <v>Mon</v>
      </c>
      <c r="D18" s="64" t="str">
        <f t="shared" si="11"/>
        <v>Mar 2019</v>
      </c>
      <c r="E18" s="37" t="s">
        <v>171</v>
      </c>
      <c r="F18" s="37" t="s">
        <v>44</v>
      </c>
      <c r="G18" s="37" t="s">
        <v>160</v>
      </c>
      <c r="H18" s="64" t="str">
        <f t="shared" si="13"/>
        <v>Jan</v>
      </c>
      <c r="I18" s="64" t="str">
        <f t="shared" si="14"/>
        <v>01</v>
      </c>
      <c r="J18" s="64">
        <f t="shared" si="12"/>
        <v>2019</v>
      </c>
      <c r="K18" s="37" t="s">
        <v>40</v>
      </c>
      <c r="L18" s="39" t="s">
        <v>82</v>
      </c>
    </row>
    <row r="19" spans="1:13" s="34" customFormat="1" ht="15" customHeight="1" x14ac:dyDescent="0.4">
      <c r="A19" s="23" t="b">
        <f t="shared" ca="1" si="0"/>
        <v>1</v>
      </c>
      <c r="B19" s="37" t="str">
        <f t="array" ref="B19">TEXT(WORKDAY(DATE($B$1,4,10)-1,1,IF('Holiday (Dates to Exclude)'!$D:$D=VLOOKUP($G19,'Holiday (Dates to Exclude)'!$A:$B,2,0),'Holiday (Dates to Exclude)'!$E:$E,)),"MM/DD/YY")</f>
        <v>04/10/19</v>
      </c>
      <c r="C19" s="64" t="str">
        <f t="shared" si="10"/>
        <v>Wed</v>
      </c>
      <c r="D19" s="64" t="str">
        <f t="shared" si="11"/>
        <v>Apr 2019</v>
      </c>
      <c r="E19" s="37" t="s">
        <v>171</v>
      </c>
      <c r="F19" s="37" t="s">
        <v>44</v>
      </c>
      <c r="G19" s="37" t="s">
        <v>160</v>
      </c>
      <c r="H19" s="64" t="str">
        <f t="shared" si="13"/>
        <v>Feb</v>
      </c>
      <c r="I19" s="64" t="str">
        <f t="shared" si="14"/>
        <v>02</v>
      </c>
      <c r="J19" s="64">
        <f t="shared" si="12"/>
        <v>2019</v>
      </c>
      <c r="K19" s="37" t="s">
        <v>40</v>
      </c>
      <c r="L19" s="39" t="s">
        <v>82</v>
      </c>
    </row>
    <row r="20" spans="1:13" s="34" customFormat="1" ht="15" customHeight="1" x14ac:dyDescent="0.4">
      <c r="A20" s="23" t="b">
        <f t="shared" ca="1" si="0"/>
        <v>1</v>
      </c>
      <c r="B20" s="37" t="str">
        <f t="array" ref="B20">TEXT(WORKDAY(DATE($B$1,5,10)-1,1,IF('Holiday (Dates to Exclude)'!$D:$D=VLOOKUP($G20,'Holiday (Dates to Exclude)'!$A:$B,2,0),'Holiday (Dates to Exclude)'!$E:$E,)),"MM/DD/YY")</f>
        <v>05/10/19</v>
      </c>
      <c r="C20" s="64" t="str">
        <f t="shared" si="10"/>
        <v>Fri</v>
      </c>
      <c r="D20" s="64" t="str">
        <f t="shared" si="11"/>
        <v>May 2019</v>
      </c>
      <c r="E20" s="37" t="s">
        <v>171</v>
      </c>
      <c r="F20" s="37" t="s">
        <v>44</v>
      </c>
      <c r="G20" s="37" t="s">
        <v>160</v>
      </c>
      <c r="H20" s="64" t="str">
        <f t="shared" si="13"/>
        <v>Mar</v>
      </c>
      <c r="I20" s="64" t="str">
        <f t="shared" si="14"/>
        <v>03</v>
      </c>
      <c r="J20" s="64">
        <f t="shared" si="12"/>
        <v>2019</v>
      </c>
      <c r="K20" s="37" t="s">
        <v>40</v>
      </c>
      <c r="L20" s="39" t="s">
        <v>82</v>
      </c>
    </row>
    <row r="21" spans="1:13" s="34" customFormat="1" ht="15" customHeight="1" x14ac:dyDescent="0.4">
      <c r="A21" s="23" t="b">
        <f t="shared" ca="1" si="0"/>
        <v>0</v>
      </c>
      <c r="B21" s="37" t="str">
        <f t="array" ref="B21">TEXT(WORKDAY(DATE($B$1,6,10)-1,1,IF('Holiday (Dates to Exclude)'!$D:$D=VLOOKUP($G21,'Holiday (Dates to Exclude)'!$A:$B,2,0),'Holiday (Dates to Exclude)'!$E:$E,)),"MM/DD/YY")</f>
        <v>06/10/19</v>
      </c>
      <c r="C21" s="64" t="str">
        <f t="shared" si="10"/>
        <v>Mon</v>
      </c>
      <c r="D21" s="64" t="str">
        <f t="shared" si="11"/>
        <v>Jun 2019</v>
      </c>
      <c r="E21" s="37" t="s">
        <v>171</v>
      </c>
      <c r="F21" s="37" t="s">
        <v>44</v>
      </c>
      <c r="G21" s="37" t="s">
        <v>160</v>
      </c>
      <c r="H21" s="64" t="str">
        <f t="shared" si="13"/>
        <v>Apr</v>
      </c>
      <c r="I21" s="64" t="str">
        <f t="shared" si="14"/>
        <v>04</v>
      </c>
      <c r="J21" s="64">
        <f t="shared" si="12"/>
        <v>2019</v>
      </c>
      <c r="K21" s="37" t="s">
        <v>40</v>
      </c>
      <c r="L21" s="39" t="s">
        <v>82</v>
      </c>
      <c r="M21" s="39" t="s">
        <v>84</v>
      </c>
    </row>
    <row r="22" spans="1:13" s="34" customFormat="1" ht="15" customHeight="1" x14ac:dyDescent="0.4">
      <c r="A22" s="23" t="b">
        <f t="shared" ca="1" si="0"/>
        <v>0</v>
      </c>
      <c r="B22" s="37" t="str">
        <f t="array" ref="B22">TEXT(WORKDAY(DATE($B$1,7,10)-1,1,IF('Holiday (Dates to Exclude)'!$D:$D=VLOOKUP($G22,'Holiday (Dates to Exclude)'!$A:$B,2,0),'Holiday (Dates to Exclude)'!$E:$E,)),"MM/DD/YY")</f>
        <v>07/10/19</v>
      </c>
      <c r="C22" s="64" t="str">
        <f t="shared" si="10"/>
        <v>Wed</v>
      </c>
      <c r="D22" s="64" t="str">
        <f t="shared" si="11"/>
        <v>Jul 2019</v>
      </c>
      <c r="E22" s="37" t="s">
        <v>171</v>
      </c>
      <c r="F22" s="37" t="s">
        <v>44</v>
      </c>
      <c r="G22" s="37" t="s">
        <v>160</v>
      </c>
      <c r="H22" s="64" t="str">
        <f t="shared" si="13"/>
        <v>May</v>
      </c>
      <c r="I22" s="64" t="str">
        <f t="shared" si="14"/>
        <v>05</v>
      </c>
      <c r="J22" s="64">
        <f t="shared" si="12"/>
        <v>2019</v>
      </c>
      <c r="K22" s="37" t="s">
        <v>40</v>
      </c>
      <c r="L22" s="39" t="s">
        <v>82</v>
      </c>
    </row>
    <row r="23" spans="1:13" s="34" customFormat="1" ht="15" customHeight="1" x14ac:dyDescent="0.4">
      <c r="A23" s="23" t="b">
        <f t="shared" ca="1" si="0"/>
        <v>0</v>
      </c>
      <c r="B23" s="37" t="str">
        <f t="array" ref="B23">TEXT(WORKDAY(DATE($B$1,8,10)-1,1,IF('Holiday (Dates to Exclude)'!$D:$D=VLOOKUP($G23,'Holiday (Dates to Exclude)'!$A:$B,2,0),'Holiday (Dates to Exclude)'!$E:$E,)),"MM/DD/YY")</f>
        <v>08/12/19</v>
      </c>
      <c r="C23" s="64" t="str">
        <f t="shared" si="10"/>
        <v>Mon</v>
      </c>
      <c r="D23" s="64" t="str">
        <f t="shared" si="11"/>
        <v>Aug 2019</v>
      </c>
      <c r="E23" s="37" t="s">
        <v>171</v>
      </c>
      <c r="F23" s="37" t="s">
        <v>44</v>
      </c>
      <c r="G23" s="37" t="s">
        <v>160</v>
      </c>
      <c r="H23" s="64" t="str">
        <f t="shared" si="13"/>
        <v>Jun</v>
      </c>
      <c r="I23" s="64" t="str">
        <f t="shared" si="14"/>
        <v>06</v>
      </c>
      <c r="J23" s="64">
        <f t="shared" si="12"/>
        <v>2019</v>
      </c>
      <c r="K23" s="37" t="s">
        <v>40</v>
      </c>
      <c r="L23" s="39" t="s">
        <v>82</v>
      </c>
    </row>
    <row r="24" spans="1:13" s="34" customFormat="1" ht="15" customHeight="1" x14ac:dyDescent="0.4">
      <c r="A24" s="23" t="b">
        <f t="shared" ca="1" si="0"/>
        <v>0</v>
      </c>
      <c r="B24" s="37" t="str">
        <f t="array" ref="B24">TEXT(WORKDAY(DATE($B$1,9,10)-1,1,IF('Holiday (Dates to Exclude)'!$D:$D=VLOOKUP($G24,'Holiday (Dates to Exclude)'!$A:$B,2,0),'Holiday (Dates to Exclude)'!$E:$E,)),"MM/DD/YY")</f>
        <v>09/10/19</v>
      </c>
      <c r="C24" s="64" t="str">
        <f t="shared" si="10"/>
        <v>Tue</v>
      </c>
      <c r="D24" s="64" t="str">
        <f t="shared" si="11"/>
        <v>Sep 2019</v>
      </c>
      <c r="E24" s="37" t="s">
        <v>171</v>
      </c>
      <c r="F24" s="37" t="s">
        <v>44</v>
      </c>
      <c r="G24" s="37" t="s">
        <v>160</v>
      </c>
      <c r="H24" s="64" t="str">
        <f t="shared" si="13"/>
        <v>Jul</v>
      </c>
      <c r="I24" s="64" t="str">
        <f t="shared" si="14"/>
        <v>07</v>
      </c>
      <c r="J24" s="64">
        <f t="shared" si="12"/>
        <v>2019</v>
      </c>
      <c r="K24" s="37" t="s">
        <v>40</v>
      </c>
      <c r="L24" s="39" t="s">
        <v>82</v>
      </c>
    </row>
    <row r="25" spans="1:13" s="34" customFormat="1" ht="15" customHeight="1" x14ac:dyDescent="0.4">
      <c r="A25" s="23" t="b">
        <f t="shared" ca="1" si="0"/>
        <v>0</v>
      </c>
      <c r="B25" s="37" t="str">
        <f t="array" ref="B25">TEXT(WORKDAY(DATE($B$1,10,10)-1,1,IF('Holiday (Dates to Exclude)'!$D:$D=VLOOKUP($G25,'Holiday (Dates to Exclude)'!$A:$B,2,0),'Holiday (Dates to Exclude)'!$E:$E,)),"MM/DD/YY")</f>
        <v>10/10/19</v>
      </c>
      <c r="C25" s="64" t="str">
        <f t="shared" si="10"/>
        <v>Thu</v>
      </c>
      <c r="D25" s="64" t="str">
        <f t="shared" si="11"/>
        <v>Oct 2019</v>
      </c>
      <c r="E25" s="37" t="s">
        <v>171</v>
      </c>
      <c r="F25" s="37" t="s">
        <v>44</v>
      </c>
      <c r="G25" s="37" t="s">
        <v>160</v>
      </c>
      <c r="H25" s="64" t="str">
        <f t="shared" si="13"/>
        <v>Aug</v>
      </c>
      <c r="I25" s="64" t="str">
        <f t="shared" si="14"/>
        <v>08</v>
      </c>
      <c r="J25" s="64">
        <f t="shared" si="12"/>
        <v>2019</v>
      </c>
      <c r="K25" s="37" t="s">
        <v>40</v>
      </c>
      <c r="L25" s="39" t="s">
        <v>82</v>
      </c>
    </row>
    <row r="26" spans="1:13" s="34" customFormat="1" ht="15" customHeight="1" x14ac:dyDescent="0.4">
      <c r="A26" s="23" t="b">
        <f t="shared" ca="1" si="0"/>
        <v>0</v>
      </c>
      <c r="B26" s="37" t="str">
        <f t="array" ref="B26">TEXT(WORKDAY(DATE($B$1,11,10)-1,1,IF('Holiday (Dates to Exclude)'!$D:$D=VLOOKUP($G26,'Holiday (Dates to Exclude)'!$A:$B,2,0),'Holiday (Dates to Exclude)'!$E:$E,)),"MM/DD/YY")</f>
        <v>11/11/19</v>
      </c>
      <c r="C26" s="64" t="str">
        <f t="shared" si="10"/>
        <v>Mon</v>
      </c>
      <c r="D26" s="64" t="str">
        <f t="shared" si="11"/>
        <v>Nov 2019</v>
      </c>
      <c r="E26" s="37" t="s">
        <v>171</v>
      </c>
      <c r="F26" s="37" t="s">
        <v>44</v>
      </c>
      <c r="G26" s="37" t="s">
        <v>160</v>
      </c>
      <c r="H26" s="64" t="str">
        <f t="shared" si="13"/>
        <v>Sep</v>
      </c>
      <c r="I26" s="64" t="str">
        <f t="shared" si="14"/>
        <v>09</v>
      </c>
      <c r="J26" s="64">
        <f t="shared" si="12"/>
        <v>2019</v>
      </c>
      <c r="K26" s="37" t="s">
        <v>40</v>
      </c>
      <c r="L26" s="39" t="s">
        <v>82</v>
      </c>
    </row>
    <row r="27" spans="1:13" s="34" customFormat="1" ht="15" customHeight="1" x14ac:dyDescent="0.4">
      <c r="A27" s="23" t="b">
        <f t="shared" ca="1" si="0"/>
        <v>0</v>
      </c>
      <c r="B27" s="37" t="str">
        <f t="array" ref="B27">TEXT(WORKDAY(DATE($B$1,12,10)-1,1,IF('Holiday (Dates to Exclude)'!$D:$D=VLOOKUP($G27,'Holiday (Dates to Exclude)'!$A:$B,2,0),'Holiday (Dates to Exclude)'!$E:$E,)),"MM/DD/YY")</f>
        <v>12/10/19</v>
      </c>
      <c r="C27" s="64" t="str">
        <f t="shared" si="10"/>
        <v>Tue</v>
      </c>
      <c r="D27" s="64" t="str">
        <f t="shared" si="11"/>
        <v>Dec 2019</v>
      </c>
      <c r="E27" s="37" t="s">
        <v>171</v>
      </c>
      <c r="F27" s="37" t="s">
        <v>44</v>
      </c>
      <c r="G27" s="37" t="s">
        <v>160</v>
      </c>
      <c r="H27" s="64" t="str">
        <f t="shared" si="13"/>
        <v>Oct</v>
      </c>
      <c r="I27" s="64" t="str">
        <f t="shared" si="14"/>
        <v>10</v>
      </c>
      <c r="J27" s="64">
        <f t="shared" si="12"/>
        <v>2019</v>
      </c>
      <c r="K27" s="37" t="s">
        <v>40</v>
      </c>
      <c r="L27" s="39" t="s">
        <v>82</v>
      </c>
    </row>
    <row r="28" spans="1:13" s="39" customFormat="1" ht="15" customHeight="1" x14ac:dyDescent="0.4">
      <c r="A28" s="23" t="b">
        <f t="shared" ca="1" si="0"/>
        <v>1</v>
      </c>
      <c r="B28" s="37" t="str">
        <f t="array" ref="B28">TEXT(WORKDAY(DATE($B$1,1,11)-1,1,IF('Holiday (Dates to Exclude)'!$D:$D=VLOOKUP($G28,'Holiday (Dates to Exclude)'!$A:$B,2,0),'Holiday (Dates to Exclude)'!$E:$E,)),"MM/DD/YY")</f>
        <v>01/11/19</v>
      </c>
      <c r="C28" s="64" t="str">
        <f t="shared" ref="C28:C39" si="15">TEXT($B28,"DDD")</f>
        <v>Fri</v>
      </c>
      <c r="D28" s="64" t="str">
        <f t="shared" ref="D28:D39" si="16">TEXT(B28,"MMM YYYY")</f>
        <v>Jan 2019</v>
      </c>
      <c r="E28" s="37" t="s">
        <v>172</v>
      </c>
      <c r="F28" s="37" t="s">
        <v>44</v>
      </c>
      <c r="G28" s="37" t="s">
        <v>148</v>
      </c>
      <c r="H28" s="64" t="str">
        <f t="shared" ref="H28:H39" si="17">TEXT(EDATE($B28,-2),"MMM")</f>
        <v>Nov</v>
      </c>
      <c r="I28" s="64" t="str">
        <f t="shared" ref="I28:I39" si="18">TEXT(EOMONTH($B28,-2),"MM")</f>
        <v>11</v>
      </c>
      <c r="J28" s="64">
        <f t="shared" ref="J28:J39" si="19">YEAR(B28)</f>
        <v>2019</v>
      </c>
      <c r="K28" s="37" t="s">
        <v>45</v>
      </c>
      <c r="L28" s="39" t="s">
        <v>82</v>
      </c>
    </row>
    <row r="29" spans="1:13" s="39" customFormat="1" ht="15" customHeight="1" x14ac:dyDescent="0.4">
      <c r="A29" s="23" t="b">
        <f t="shared" ca="1" si="0"/>
        <v>1</v>
      </c>
      <c r="B29" s="37" t="str">
        <f t="array" ref="B29">TEXT(WORKDAY(DATE($B$1,2,11)-1,1,IF('Holiday (Dates to Exclude)'!$D:$D=VLOOKUP($G29,'Holiday (Dates to Exclude)'!$A:$B,2,0),'Holiday (Dates to Exclude)'!$E:$E,)),"MM/DD/YY")</f>
        <v>02/11/19</v>
      </c>
      <c r="C29" s="64" t="str">
        <f t="shared" si="15"/>
        <v>Mon</v>
      </c>
      <c r="D29" s="64" t="str">
        <f t="shared" si="16"/>
        <v>Feb 2019</v>
      </c>
      <c r="E29" s="37" t="s">
        <v>172</v>
      </c>
      <c r="F29" s="37" t="s">
        <v>44</v>
      </c>
      <c r="G29" s="37" t="s">
        <v>148</v>
      </c>
      <c r="H29" s="64" t="str">
        <f t="shared" si="17"/>
        <v>Dec</v>
      </c>
      <c r="I29" s="64" t="str">
        <f t="shared" si="18"/>
        <v>12</v>
      </c>
      <c r="J29" s="64">
        <f t="shared" si="19"/>
        <v>2019</v>
      </c>
      <c r="K29" s="37" t="s">
        <v>45</v>
      </c>
      <c r="L29" s="39" t="s">
        <v>82</v>
      </c>
      <c r="M29" s="39" t="s">
        <v>87</v>
      </c>
    </row>
    <row r="30" spans="1:13" s="39" customFormat="1" ht="15" customHeight="1" x14ac:dyDescent="0.4">
      <c r="A30" s="23" t="b">
        <f t="shared" ca="1" si="0"/>
        <v>1</v>
      </c>
      <c r="B30" s="37" t="str">
        <f t="array" ref="B30">TEXT(WORKDAY(DATE($B$1,3,11)-1,1,IF('Holiday (Dates to Exclude)'!$D:$D=VLOOKUP($G30,'Holiday (Dates to Exclude)'!$A:$B,2,0),'Holiday (Dates to Exclude)'!$E:$E,)),"MM/DD/YY")</f>
        <v>03/11/19</v>
      </c>
      <c r="C30" s="64" t="str">
        <f t="shared" si="15"/>
        <v>Mon</v>
      </c>
      <c r="D30" s="64" t="str">
        <f t="shared" si="16"/>
        <v>Mar 2019</v>
      </c>
      <c r="E30" s="37" t="s">
        <v>172</v>
      </c>
      <c r="F30" s="37" t="s">
        <v>44</v>
      </c>
      <c r="G30" s="37" t="s">
        <v>148</v>
      </c>
      <c r="H30" s="64" t="str">
        <f t="shared" si="17"/>
        <v>Jan</v>
      </c>
      <c r="I30" s="64" t="str">
        <f t="shared" si="18"/>
        <v>01</v>
      </c>
      <c r="J30" s="64">
        <f t="shared" si="19"/>
        <v>2019</v>
      </c>
      <c r="K30" s="37" t="s">
        <v>45</v>
      </c>
      <c r="L30" s="39" t="s">
        <v>82</v>
      </c>
      <c r="M30" s="39" t="s">
        <v>87</v>
      </c>
    </row>
    <row r="31" spans="1:13" s="39" customFormat="1" ht="15" customHeight="1" x14ac:dyDescent="0.4">
      <c r="A31" s="23" t="b">
        <f t="shared" ca="1" si="0"/>
        <v>1</v>
      </c>
      <c r="B31" s="37" t="str">
        <f t="array" ref="B31">TEXT(WORKDAY(DATE($B$1,4,11)-1,1,IF('Holiday (Dates to Exclude)'!$D:$D=VLOOKUP($G31,'Holiday (Dates to Exclude)'!$A:$B,2,0),'Holiday (Dates to Exclude)'!$E:$E,)),"MM/DD/YY")</f>
        <v>04/11/19</v>
      </c>
      <c r="C31" s="64" t="str">
        <f t="shared" si="15"/>
        <v>Thu</v>
      </c>
      <c r="D31" s="64" t="str">
        <f t="shared" si="16"/>
        <v>Apr 2019</v>
      </c>
      <c r="E31" s="37" t="s">
        <v>172</v>
      </c>
      <c r="F31" s="37" t="s">
        <v>44</v>
      </c>
      <c r="G31" s="37" t="s">
        <v>148</v>
      </c>
      <c r="H31" s="64" t="str">
        <f t="shared" si="17"/>
        <v>Feb</v>
      </c>
      <c r="I31" s="64" t="str">
        <f t="shared" si="18"/>
        <v>02</v>
      </c>
      <c r="J31" s="64">
        <f t="shared" si="19"/>
        <v>2019</v>
      </c>
      <c r="K31" s="37" t="s">
        <v>45</v>
      </c>
      <c r="L31" s="39" t="s">
        <v>82</v>
      </c>
    </row>
    <row r="32" spans="1:13" s="39" customFormat="1" ht="15" customHeight="1" x14ac:dyDescent="0.4">
      <c r="A32" s="23" t="b">
        <f t="shared" ca="1" si="0"/>
        <v>1</v>
      </c>
      <c r="B32" s="37" t="str">
        <f t="array" ref="B32">TEXT(WORKDAY(DATE($B$1,5,11)-1,1,IF('Holiday (Dates to Exclude)'!$D:$D=VLOOKUP($G32,'Holiday (Dates to Exclude)'!$A:$B,2,0),'Holiday (Dates to Exclude)'!$E:$E,)),"MM/DD/YY")</f>
        <v>05/13/19</v>
      </c>
      <c r="C32" s="64" t="str">
        <f t="shared" si="15"/>
        <v>Mon</v>
      </c>
      <c r="D32" s="64" t="str">
        <f t="shared" si="16"/>
        <v>May 2019</v>
      </c>
      <c r="E32" s="37" t="s">
        <v>172</v>
      </c>
      <c r="F32" s="37" t="s">
        <v>44</v>
      </c>
      <c r="G32" s="37" t="s">
        <v>148</v>
      </c>
      <c r="H32" s="64" t="str">
        <f t="shared" si="17"/>
        <v>Mar</v>
      </c>
      <c r="I32" s="64" t="str">
        <f t="shared" si="18"/>
        <v>03</v>
      </c>
      <c r="J32" s="64">
        <f t="shared" si="19"/>
        <v>2019</v>
      </c>
      <c r="K32" s="37" t="s">
        <v>45</v>
      </c>
      <c r="L32" s="39" t="s">
        <v>82</v>
      </c>
    </row>
    <row r="33" spans="1:13" s="39" customFormat="1" ht="15" customHeight="1" x14ac:dyDescent="0.4">
      <c r="A33" s="23" t="b">
        <f t="shared" ca="1" si="0"/>
        <v>0</v>
      </c>
      <c r="B33" s="37" t="str">
        <f t="array" ref="B33">TEXT(WORKDAY(DATE($B$1,6,11)-1,1,IF('Holiday (Dates to Exclude)'!$D:$D=VLOOKUP($G33,'Holiday (Dates to Exclude)'!$A:$B,2,0),'Holiday (Dates to Exclude)'!$E:$E,)),"MM/DD/YY")</f>
        <v>06/11/19</v>
      </c>
      <c r="C33" s="64" t="str">
        <f t="shared" si="15"/>
        <v>Tue</v>
      </c>
      <c r="D33" s="64" t="str">
        <f t="shared" si="16"/>
        <v>Jun 2019</v>
      </c>
      <c r="E33" s="37" t="s">
        <v>172</v>
      </c>
      <c r="F33" s="37" t="s">
        <v>44</v>
      </c>
      <c r="G33" s="37" t="s">
        <v>148</v>
      </c>
      <c r="H33" s="64" t="str">
        <f t="shared" si="17"/>
        <v>Apr</v>
      </c>
      <c r="I33" s="64" t="str">
        <f t="shared" si="18"/>
        <v>04</v>
      </c>
      <c r="J33" s="64">
        <f t="shared" si="19"/>
        <v>2019</v>
      </c>
      <c r="K33" s="37" t="s">
        <v>45</v>
      </c>
      <c r="L33" s="39" t="s">
        <v>82</v>
      </c>
      <c r="M33" s="39" t="s">
        <v>87</v>
      </c>
    </row>
    <row r="34" spans="1:13" s="39" customFormat="1" ht="15" customHeight="1" x14ac:dyDescent="0.4">
      <c r="A34" s="23" t="b">
        <f t="shared" ca="1" si="0"/>
        <v>0</v>
      </c>
      <c r="B34" s="37" t="str">
        <f t="array" ref="B34">TEXT(WORKDAY(DATE($B$1,7,11)-1,1,IF('Holiday (Dates to Exclude)'!$D:$D=VLOOKUP($G34,'Holiday (Dates to Exclude)'!$A:$B,2,0),'Holiday (Dates to Exclude)'!$E:$E,)),"MM/DD/YY")</f>
        <v>07/11/19</v>
      </c>
      <c r="C34" s="64" t="str">
        <f t="shared" si="15"/>
        <v>Thu</v>
      </c>
      <c r="D34" s="64" t="str">
        <f t="shared" si="16"/>
        <v>Jul 2019</v>
      </c>
      <c r="E34" s="37" t="s">
        <v>172</v>
      </c>
      <c r="F34" s="37" t="s">
        <v>44</v>
      </c>
      <c r="G34" s="37" t="s">
        <v>148</v>
      </c>
      <c r="H34" s="64" t="str">
        <f t="shared" si="17"/>
        <v>May</v>
      </c>
      <c r="I34" s="64" t="str">
        <f t="shared" si="18"/>
        <v>05</v>
      </c>
      <c r="J34" s="64">
        <f t="shared" si="19"/>
        <v>2019</v>
      </c>
      <c r="K34" s="37" t="s">
        <v>45</v>
      </c>
      <c r="L34" s="39" t="s">
        <v>82</v>
      </c>
    </row>
    <row r="35" spans="1:13" s="39" customFormat="1" ht="15" customHeight="1" x14ac:dyDescent="0.4">
      <c r="A35" s="23" t="b">
        <f t="shared" ca="1" si="0"/>
        <v>0</v>
      </c>
      <c r="B35" s="37" t="str">
        <f t="array" ref="B35">TEXT(WORKDAY(DATE($B$1,8,11)-1,1,IF('Holiday (Dates to Exclude)'!$D:$D=VLOOKUP($G35,'Holiday (Dates to Exclude)'!$A:$B,2,0),'Holiday (Dates to Exclude)'!$E:$E,)),"MM/DD/YY")</f>
        <v>08/12/19</v>
      </c>
      <c r="C35" s="64" t="str">
        <f t="shared" si="15"/>
        <v>Mon</v>
      </c>
      <c r="D35" s="64" t="str">
        <f t="shared" si="16"/>
        <v>Aug 2019</v>
      </c>
      <c r="E35" s="37" t="s">
        <v>172</v>
      </c>
      <c r="F35" s="37" t="s">
        <v>44</v>
      </c>
      <c r="G35" s="37" t="s">
        <v>148</v>
      </c>
      <c r="H35" s="64" t="str">
        <f t="shared" si="17"/>
        <v>Jun</v>
      </c>
      <c r="I35" s="64" t="str">
        <f t="shared" si="18"/>
        <v>06</v>
      </c>
      <c r="J35" s="64">
        <f t="shared" si="19"/>
        <v>2019</v>
      </c>
      <c r="K35" s="37" t="s">
        <v>45</v>
      </c>
      <c r="L35" s="39" t="s">
        <v>82</v>
      </c>
    </row>
    <row r="36" spans="1:13" s="39" customFormat="1" ht="15" customHeight="1" x14ac:dyDescent="0.4">
      <c r="A36" s="23" t="b">
        <f t="shared" ca="1" si="0"/>
        <v>0</v>
      </c>
      <c r="B36" s="37" t="str">
        <f t="array" ref="B36">TEXT(WORKDAY(DATE($B$1,9,11)-1,1,IF('Holiday (Dates to Exclude)'!$D:$D=VLOOKUP($G36,'Holiday (Dates to Exclude)'!$A:$B,2,0),'Holiday (Dates to Exclude)'!$E:$E,)),"MM/DD/YY")</f>
        <v>09/11/19</v>
      </c>
      <c r="C36" s="64" t="str">
        <f t="shared" si="15"/>
        <v>Wed</v>
      </c>
      <c r="D36" s="64" t="str">
        <f t="shared" si="16"/>
        <v>Sep 2019</v>
      </c>
      <c r="E36" s="37" t="s">
        <v>172</v>
      </c>
      <c r="F36" s="37" t="s">
        <v>44</v>
      </c>
      <c r="G36" s="37" t="s">
        <v>148</v>
      </c>
      <c r="H36" s="64" t="str">
        <f t="shared" si="17"/>
        <v>Jul</v>
      </c>
      <c r="I36" s="64" t="str">
        <f t="shared" si="18"/>
        <v>07</v>
      </c>
      <c r="J36" s="64">
        <f t="shared" si="19"/>
        <v>2019</v>
      </c>
      <c r="K36" s="37" t="s">
        <v>45</v>
      </c>
      <c r="L36" s="39" t="s">
        <v>82</v>
      </c>
    </row>
    <row r="37" spans="1:13" s="39" customFormat="1" ht="15" customHeight="1" x14ac:dyDescent="0.4">
      <c r="A37" s="23" t="b">
        <f t="shared" ca="1" si="0"/>
        <v>0</v>
      </c>
      <c r="B37" s="37" t="str">
        <f t="array" ref="B37">TEXT(WORKDAY(DATE($B$1,10,11)-1,1,IF('Holiday (Dates to Exclude)'!$D:$D=VLOOKUP($G37,'Holiday (Dates to Exclude)'!$A:$B,2,0),'Holiday (Dates to Exclude)'!$E:$E,)),"MM/DD/YY")</f>
        <v>10/11/19</v>
      </c>
      <c r="C37" s="64" t="str">
        <f t="shared" si="15"/>
        <v>Fri</v>
      </c>
      <c r="D37" s="64" t="str">
        <f t="shared" si="16"/>
        <v>Oct 2019</v>
      </c>
      <c r="E37" s="37" t="s">
        <v>172</v>
      </c>
      <c r="F37" s="37" t="s">
        <v>44</v>
      </c>
      <c r="G37" s="37" t="s">
        <v>148</v>
      </c>
      <c r="H37" s="64" t="str">
        <f t="shared" si="17"/>
        <v>Aug</v>
      </c>
      <c r="I37" s="64" t="str">
        <f t="shared" si="18"/>
        <v>08</v>
      </c>
      <c r="J37" s="64">
        <f t="shared" si="19"/>
        <v>2019</v>
      </c>
      <c r="K37" s="37" t="s">
        <v>45</v>
      </c>
      <c r="L37" s="39" t="s">
        <v>82</v>
      </c>
    </row>
    <row r="38" spans="1:13" s="39" customFormat="1" ht="15" customHeight="1" x14ac:dyDescent="0.4">
      <c r="A38" s="23" t="b">
        <f t="shared" ca="1" si="0"/>
        <v>0</v>
      </c>
      <c r="B38" s="37" t="str">
        <f t="array" ref="B38">TEXT(WORKDAY(DATE($B$1,11,11)-1,1,IF('Holiday (Dates to Exclude)'!$D:$D=VLOOKUP($G38,'Holiday (Dates to Exclude)'!$A:$B,2,0),'Holiday (Dates to Exclude)'!$E:$E,)),"MM/DD/YY")</f>
        <v>11/11/19</v>
      </c>
      <c r="C38" s="64" t="str">
        <f t="shared" si="15"/>
        <v>Mon</v>
      </c>
      <c r="D38" s="64" t="str">
        <f t="shared" si="16"/>
        <v>Nov 2019</v>
      </c>
      <c r="E38" s="37" t="s">
        <v>172</v>
      </c>
      <c r="F38" s="37" t="s">
        <v>44</v>
      </c>
      <c r="G38" s="37" t="s">
        <v>148</v>
      </c>
      <c r="H38" s="64" t="str">
        <f t="shared" si="17"/>
        <v>Sep</v>
      </c>
      <c r="I38" s="64" t="str">
        <f t="shared" si="18"/>
        <v>09</v>
      </c>
      <c r="J38" s="64">
        <f t="shared" si="19"/>
        <v>2019</v>
      </c>
      <c r="K38" s="37" t="s">
        <v>45</v>
      </c>
      <c r="L38" s="39" t="s">
        <v>82</v>
      </c>
      <c r="M38" s="39" t="s">
        <v>87</v>
      </c>
    </row>
    <row r="39" spans="1:13" s="39" customFormat="1" ht="15" customHeight="1" x14ac:dyDescent="0.4">
      <c r="A39" s="23" t="b">
        <f t="shared" ca="1" si="0"/>
        <v>0</v>
      </c>
      <c r="B39" s="37" t="str">
        <f t="array" ref="B39">TEXT(WORKDAY(DATE($B$1,12,11)-1,1,IF('Holiday (Dates to Exclude)'!$D:$D=VLOOKUP($G39,'Holiday (Dates to Exclude)'!$A:$B,2,0),'Holiday (Dates to Exclude)'!$E:$E,)),"MM/DD/YY")</f>
        <v>12/11/19</v>
      </c>
      <c r="C39" s="64" t="str">
        <f t="shared" si="15"/>
        <v>Wed</v>
      </c>
      <c r="D39" s="64" t="str">
        <f t="shared" si="16"/>
        <v>Dec 2019</v>
      </c>
      <c r="E39" s="37" t="s">
        <v>172</v>
      </c>
      <c r="F39" s="37" t="s">
        <v>44</v>
      </c>
      <c r="G39" s="37" t="s">
        <v>148</v>
      </c>
      <c r="H39" s="64" t="str">
        <f t="shared" si="17"/>
        <v>Oct</v>
      </c>
      <c r="I39" s="64" t="str">
        <f t="shared" si="18"/>
        <v>10</v>
      </c>
      <c r="J39" s="64">
        <f t="shared" si="19"/>
        <v>2019</v>
      </c>
      <c r="K39" s="37" t="s">
        <v>45</v>
      </c>
      <c r="L39" s="39" t="s">
        <v>82</v>
      </c>
    </row>
    <row r="40" spans="1:13" s="39" customFormat="1" ht="15" customHeight="1" x14ac:dyDescent="0.4">
      <c r="A40" s="23" t="b">
        <f t="shared" ca="1" si="0"/>
        <v>1</v>
      </c>
      <c r="B40" s="37" t="str">
        <f t="array" ref="B40">TEXT(WORKDAY(DATE($B$1,1,12)-1,1,IF('Holiday (Dates to Exclude)'!$D:$D=VLOOKUP($G40,'Holiday (Dates to Exclude)'!$A:$B,2,0),'Holiday (Dates to Exclude)'!$E:$E,)),"MM/DD/YY")</f>
        <v>01/14/19</v>
      </c>
      <c r="C40" s="64" t="str">
        <f t="shared" ref="C40:C51" si="20">TEXT($B40,"DDD")</f>
        <v>Mon</v>
      </c>
      <c r="D40" s="64" t="str">
        <f t="shared" ref="D40:D51" si="21">TEXT(B40,"MMM YYYY")</f>
        <v>Jan 2019</v>
      </c>
      <c r="E40" s="65" t="s">
        <v>170</v>
      </c>
      <c r="F40" s="62" t="s">
        <v>44</v>
      </c>
      <c r="G40" s="37" t="s">
        <v>148</v>
      </c>
      <c r="H40" s="64" t="str">
        <f>TEXT(EDATE($B40,-1),"MMM")</f>
        <v>Dec</v>
      </c>
      <c r="I40" s="64" t="str">
        <f>TEXT(EOMONTH($B40,-1),"MM")</f>
        <v>12</v>
      </c>
      <c r="J40" s="64">
        <f t="shared" ref="J40:J51" si="22">YEAR(B40)</f>
        <v>2019</v>
      </c>
      <c r="K40" s="23" t="s">
        <v>37</v>
      </c>
      <c r="L40" s="39" t="s">
        <v>82</v>
      </c>
    </row>
    <row r="41" spans="1:13" s="39" customFormat="1" ht="15" customHeight="1" x14ac:dyDescent="0.4">
      <c r="A41" s="23" t="b">
        <f t="shared" ca="1" si="0"/>
        <v>1</v>
      </c>
      <c r="B41" s="37" t="str">
        <f t="array" ref="B41">TEXT(WORKDAY(DATE($B$1,2,12)-1,1,IF('Holiday (Dates to Exclude)'!$D:$D=VLOOKUP($G41,'Holiday (Dates to Exclude)'!$A:$B,2,0),'Holiday (Dates to Exclude)'!$E:$E,)),"MM/DD/YY")</f>
        <v>02/12/19</v>
      </c>
      <c r="C41" s="64" t="str">
        <f t="shared" si="20"/>
        <v>Tue</v>
      </c>
      <c r="D41" s="64" t="str">
        <f t="shared" si="21"/>
        <v>Feb 2019</v>
      </c>
      <c r="E41" s="65" t="s">
        <v>170</v>
      </c>
      <c r="F41" s="62" t="s">
        <v>44</v>
      </c>
      <c r="G41" s="37" t="s">
        <v>148</v>
      </c>
      <c r="H41" s="64" t="str">
        <f t="shared" ref="H41:H51" si="23">TEXT(EDATE($B41,-1),"MMM")</f>
        <v>Jan</v>
      </c>
      <c r="I41" s="64" t="str">
        <f t="shared" ref="I41:I51" si="24">TEXT(EOMONTH($B41,-1),"MM")</f>
        <v>01</v>
      </c>
      <c r="J41" s="64">
        <f t="shared" si="22"/>
        <v>2019</v>
      </c>
      <c r="K41" s="23" t="s">
        <v>37</v>
      </c>
      <c r="L41" s="39" t="s">
        <v>82</v>
      </c>
      <c r="M41" s="39" t="s">
        <v>87</v>
      </c>
    </row>
    <row r="42" spans="1:13" s="39" customFormat="1" ht="15" customHeight="1" x14ac:dyDescent="0.4">
      <c r="A42" s="23" t="b">
        <f t="shared" ca="1" si="0"/>
        <v>1</v>
      </c>
      <c r="B42" s="37" t="str">
        <f t="array" ref="B42">TEXT(WORKDAY(DATE($B$1,3,12)-1,1,IF('Holiday (Dates to Exclude)'!$D:$D=VLOOKUP($G42,'Holiday (Dates to Exclude)'!$A:$B,2,0),'Holiday (Dates to Exclude)'!$E:$E,)),"MM/DD/YY")</f>
        <v>03/12/19</v>
      </c>
      <c r="C42" s="64" t="str">
        <f t="shared" si="20"/>
        <v>Tue</v>
      </c>
      <c r="D42" s="64" t="str">
        <f t="shared" si="21"/>
        <v>Mar 2019</v>
      </c>
      <c r="E42" s="65" t="s">
        <v>170</v>
      </c>
      <c r="F42" s="62" t="s">
        <v>44</v>
      </c>
      <c r="G42" s="37" t="s">
        <v>148</v>
      </c>
      <c r="H42" s="64" t="str">
        <f t="shared" si="23"/>
        <v>Feb</v>
      </c>
      <c r="I42" s="64" t="str">
        <f t="shared" si="24"/>
        <v>02</v>
      </c>
      <c r="J42" s="64">
        <f t="shared" si="22"/>
        <v>2019</v>
      </c>
      <c r="K42" s="23" t="s">
        <v>37</v>
      </c>
      <c r="L42" s="39" t="s">
        <v>82</v>
      </c>
      <c r="M42" s="39" t="s">
        <v>87</v>
      </c>
    </row>
    <row r="43" spans="1:13" s="39" customFormat="1" ht="15" customHeight="1" x14ac:dyDescent="0.4">
      <c r="A43" s="23" t="b">
        <f t="shared" ca="1" si="0"/>
        <v>1</v>
      </c>
      <c r="B43" s="37" t="str">
        <f t="array" ref="B43">TEXT(WORKDAY(DATE($B$1,4,12)-1,1,IF('Holiday (Dates to Exclude)'!$D:$D=VLOOKUP($G43,'Holiday (Dates to Exclude)'!$A:$B,2,0),'Holiday (Dates to Exclude)'!$E:$E,)),"MM/DD/YY")</f>
        <v>04/12/19</v>
      </c>
      <c r="C43" s="64" t="str">
        <f t="shared" si="20"/>
        <v>Fri</v>
      </c>
      <c r="D43" s="64" t="str">
        <f t="shared" si="21"/>
        <v>Apr 2019</v>
      </c>
      <c r="E43" s="65" t="s">
        <v>170</v>
      </c>
      <c r="F43" s="62" t="s">
        <v>44</v>
      </c>
      <c r="G43" s="37" t="s">
        <v>148</v>
      </c>
      <c r="H43" s="64" t="str">
        <f t="shared" si="23"/>
        <v>Mar</v>
      </c>
      <c r="I43" s="64" t="str">
        <f t="shared" si="24"/>
        <v>03</v>
      </c>
      <c r="J43" s="64">
        <f t="shared" si="22"/>
        <v>2019</v>
      </c>
      <c r="K43" s="23" t="s">
        <v>37</v>
      </c>
      <c r="L43" s="39" t="s">
        <v>82</v>
      </c>
    </row>
    <row r="44" spans="1:13" s="39" customFormat="1" ht="15" customHeight="1" x14ac:dyDescent="0.4">
      <c r="A44" s="23" t="b">
        <f t="shared" ca="1" si="0"/>
        <v>1</v>
      </c>
      <c r="B44" s="37" t="str">
        <f t="array" ref="B44">TEXT(WORKDAY(DATE($B$1,5,12)-1,1,IF('Holiday (Dates to Exclude)'!$D:$D=VLOOKUP($G44,'Holiday (Dates to Exclude)'!$A:$B,2,0),'Holiday (Dates to Exclude)'!$E:$E,)),"MM/DD/YY")</f>
        <v>05/13/19</v>
      </c>
      <c r="C44" s="64" t="str">
        <f t="shared" si="20"/>
        <v>Mon</v>
      </c>
      <c r="D44" s="64" t="str">
        <f t="shared" si="21"/>
        <v>May 2019</v>
      </c>
      <c r="E44" s="65" t="s">
        <v>170</v>
      </c>
      <c r="F44" s="62" t="s">
        <v>44</v>
      </c>
      <c r="G44" s="37" t="s">
        <v>148</v>
      </c>
      <c r="H44" s="64" t="str">
        <f t="shared" si="23"/>
        <v>Apr</v>
      </c>
      <c r="I44" s="64" t="str">
        <f t="shared" si="24"/>
        <v>04</v>
      </c>
      <c r="J44" s="64">
        <f t="shared" si="22"/>
        <v>2019</v>
      </c>
      <c r="K44" s="23" t="s">
        <v>37</v>
      </c>
      <c r="L44" s="39" t="s">
        <v>82</v>
      </c>
    </row>
    <row r="45" spans="1:13" s="39" customFormat="1" ht="15" customHeight="1" x14ac:dyDescent="0.4">
      <c r="A45" s="23" t="b">
        <f t="shared" ca="1" si="0"/>
        <v>0</v>
      </c>
      <c r="B45" s="37" t="str">
        <f t="array" ref="B45">TEXT(WORKDAY(DATE($B$1,6,12)-1,1,IF('Holiday (Dates to Exclude)'!$D:$D=VLOOKUP($G45,'Holiday (Dates to Exclude)'!$A:$B,2,0),'Holiday (Dates to Exclude)'!$E:$E,)),"MM/DD/YY")</f>
        <v>06/12/19</v>
      </c>
      <c r="C45" s="64" t="str">
        <f t="shared" si="20"/>
        <v>Wed</v>
      </c>
      <c r="D45" s="64" t="str">
        <f t="shared" si="21"/>
        <v>Jun 2019</v>
      </c>
      <c r="E45" s="65" t="s">
        <v>170</v>
      </c>
      <c r="F45" s="62" t="s">
        <v>44</v>
      </c>
      <c r="G45" s="37" t="s">
        <v>148</v>
      </c>
      <c r="H45" s="64" t="str">
        <f t="shared" si="23"/>
        <v>May</v>
      </c>
      <c r="I45" s="64" t="str">
        <f t="shared" si="24"/>
        <v>05</v>
      </c>
      <c r="J45" s="64">
        <f t="shared" si="22"/>
        <v>2019</v>
      </c>
      <c r="K45" s="23" t="s">
        <v>37</v>
      </c>
      <c r="L45" s="39" t="s">
        <v>82</v>
      </c>
      <c r="M45" s="39" t="s">
        <v>87</v>
      </c>
    </row>
    <row r="46" spans="1:13" s="39" customFormat="1" ht="15" customHeight="1" x14ac:dyDescent="0.4">
      <c r="A46" s="23" t="b">
        <f t="shared" ca="1" si="0"/>
        <v>0</v>
      </c>
      <c r="B46" s="37" t="str">
        <f t="array" ref="B46">TEXT(WORKDAY(DATE($B$1,7,12)-1,1,IF('Holiday (Dates to Exclude)'!$D:$D=VLOOKUP($G46,'Holiday (Dates to Exclude)'!$A:$B,2,0),'Holiday (Dates to Exclude)'!$E:$E,)),"MM/DD/YY")</f>
        <v>07/12/19</v>
      </c>
      <c r="C46" s="64" t="str">
        <f t="shared" si="20"/>
        <v>Fri</v>
      </c>
      <c r="D46" s="64" t="str">
        <f t="shared" si="21"/>
        <v>Jul 2019</v>
      </c>
      <c r="E46" s="65" t="s">
        <v>170</v>
      </c>
      <c r="F46" s="62" t="s">
        <v>44</v>
      </c>
      <c r="G46" s="37" t="s">
        <v>148</v>
      </c>
      <c r="H46" s="64" t="str">
        <f t="shared" si="23"/>
        <v>Jun</v>
      </c>
      <c r="I46" s="64" t="str">
        <f t="shared" si="24"/>
        <v>06</v>
      </c>
      <c r="J46" s="64">
        <f t="shared" si="22"/>
        <v>2019</v>
      </c>
      <c r="K46" s="23" t="s">
        <v>37</v>
      </c>
      <c r="L46" s="39" t="s">
        <v>82</v>
      </c>
    </row>
    <row r="47" spans="1:13" s="39" customFormat="1" ht="15" customHeight="1" x14ac:dyDescent="0.4">
      <c r="A47" s="23" t="b">
        <f t="shared" ca="1" si="0"/>
        <v>0</v>
      </c>
      <c r="B47" s="37" t="str">
        <f t="array" ref="B47">TEXT(WORKDAY(DATE($B$1,8,12)-1,1,IF('Holiday (Dates to Exclude)'!$D:$D=VLOOKUP($G47,'Holiday (Dates to Exclude)'!$A:$B,2,0),'Holiday (Dates to Exclude)'!$E:$E,)),"MM/DD/YY")</f>
        <v>08/12/19</v>
      </c>
      <c r="C47" s="64" t="str">
        <f t="shared" si="20"/>
        <v>Mon</v>
      </c>
      <c r="D47" s="64" t="str">
        <f t="shared" si="21"/>
        <v>Aug 2019</v>
      </c>
      <c r="E47" s="65" t="s">
        <v>170</v>
      </c>
      <c r="F47" s="62" t="s">
        <v>44</v>
      </c>
      <c r="G47" s="37" t="s">
        <v>148</v>
      </c>
      <c r="H47" s="64" t="str">
        <f t="shared" si="23"/>
        <v>Jul</v>
      </c>
      <c r="I47" s="64" t="str">
        <f t="shared" si="24"/>
        <v>07</v>
      </c>
      <c r="J47" s="64">
        <f t="shared" si="22"/>
        <v>2019</v>
      </c>
      <c r="K47" s="23" t="s">
        <v>37</v>
      </c>
      <c r="L47" s="39" t="s">
        <v>82</v>
      </c>
    </row>
    <row r="48" spans="1:13" s="39" customFormat="1" ht="15" customHeight="1" x14ac:dyDescent="0.4">
      <c r="A48" s="23" t="b">
        <f t="shared" ca="1" si="0"/>
        <v>0</v>
      </c>
      <c r="B48" s="37" t="str">
        <f t="array" ref="B48">TEXT(WORKDAY(DATE($B$1,9,12)-1,1,IF('Holiday (Dates to Exclude)'!$D:$D=VLOOKUP($G48,'Holiday (Dates to Exclude)'!$A:$B,2,0),'Holiday (Dates to Exclude)'!$E:$E,)),"MM/DD/YY")</f>
        <v>09/12/19</v>
      </c>
      <c r="C48" s="64" t="str">
        <f t="shared" si="20"/>
        <v>Thu</v>
      </c>
      <c r="D48" s="64" t="str">
        <f t="shared" si="21"/>
        <v>Sep 2019</v>
      </c>
      <c r="E48" s="65" t="s">
        <v>170</v>
      </c>
      <c r="F48" s="62" t="s">
        <v>44</v>
      </c>
      <c r="G48" s="37" t="s">
        <v>148</v>
      </c>
      <c r="H48" s="64" t="str">
        <f t="shared" si="23"/>
        <v>Aug</v>
      </c>
      <c r="I48" s="64" t="str">
        <f t="shared" si="24"/>
        <v>08</v>
      </c>
      <c r="J48" s="64">
        <f t="shared" si="22"/>
        <v>2019</v>
      </c>
      <c r="K48" s="23" t="s">
        <v>37</v>
      </c>
      <c r="L48" s="39" t="s">
        <v>82</v>
      </c>
    </row>
    <row r="49" spans="1:13" s="39" customFormat="1" ht="15" customHeight="1" x14ac:dyDescent="0.4">
      <c r="A49" s="23" t="b">
        <f t="shared" ca="1" si="0"/>
        <v>0</v>
      </c>
      <c r="B49" s="37" t="str">
        <f t="array" ref="B49">TEXT(WORKDAY(DATE($B$1,10,12)-1,1,IF('Holiday (Dates to Exclude)'!$D:$D=VLOOKUP($G49,'Holiday (Dates to Exclude)'!$A:$B,2,0),'Holiday (Dates to Exclude)'!$E:$E,)),"MM/DD/YY")</f>
        <v>10/14/19</v>
      </c>
      <c r="C49" s="64" t="str">
        <f t="shared" si="20"/>
        <v>Mon</v>
      </c>
      <c r="D49" s="64" t="str">
        <f t="shared" si="21"/>
        <v>Oct 2019</v>
      </c>
      <c r="E49" s="65" t="s">
        <v>170</v>
      </c>
      <c r="F49" s="62" t="s">
        <v>44</v>
      </c>
      <c r="G49" s="37" t="s">
        <v>148</v>
      </c>
      <c r="H49" s="64" t="str">
        <f t="shared" si="23"/>
        <v>Sep</v>
      </c>
      <c r="I49" s="64" t="str">
        <f t="shared" si="24"/>
        <v>09</v>
      </c>
      <c r="J49" s="64">
        <f t="shared" si="22"/>
        <v>2019</v>
      </c>
      <c r="K49" s="23" t="s">
        <v>37</v>
      </c>
      <c r="L49" s="39" t="s">
        <v>82</v>
      </c>
    </row>
    <row r="50" spans="1:13" s="39" customFormat="1" ht="15" customHeight="1" x14ac:dyDescent="0.4">
      <c r="A50" s="23" t="b">
        <f t="shared" ca="1" si="0"/>
        <v>0</v>
      </c>
      <c r="B50" s="37" t="str">
        <f t="array" ref="B50">TEXT(WORKDAY(DATE($B$1,11,12)-1,1,IF('Holiday (Dates to Exclude)'!$D:$D=VLOOKUP($G50,'Holiday (Dates to Exclude)'!$A:$B,2,0),'Holiday (Dates to Exclude)'!$E:$E,)),"MM/DD/YY")</f>
        <v>11/12/19</v>
      </c>
      <c r="C50" s="64" t="str">
        <f t="shared" si="20"/>
        <v>Tue</v>
      </c>
      <c r="D50" s="64" t="str">
        <f t="shared" si="21"/>
        <v>Nov 2019</v>
      </c>
      <c r="E50" s="65" t="s">
        <v>170</v>
      </c>
      <c r="F50" s="62" t="s">
        <v>44</v>
      </c>
      <c r="G50" s="37" t="s">
        <v>148</v>
      </c>
      <c r="H50" s="64" t="str">
        <f t="shared" si="23"/>
        <v>Oct</v>
      </c>
      <c r="I50" s="64" t="str">
        <f t="shared" si="24"/>
        <v>10</v>
      </c>
      <c r="J50" s="64">
        <f t="shared" si="22"/>
        <v>2019</v>
      </c>
      <c r="K50" s="23" t="s">
        <v>37</v>
      </c>
      <c r="L50" s="39" t="s">
        <v>82</v>
      </c>
      <c r="M50" s="39" t="s">
        <v>87</v>
      </c>
    </row>
    <row r="51" spans="1:13" s="39" customFormat="1" ht="15" customHeight="1" x14ac:dyDescent="0.4">
      <c r="A51" s="23" t="b">
        <f t="shared" ca="1" si="0"/>
        <v>0</v>
      </c>
      <c r="B51" s="37" t="str">
        <f t="array" ref="B51">TEXT(WORKDAY(DATE($B$1,12,12)-1,1,IF('Holiday (Dates to Exclude)'!$D:$D=VLOOKUP($G51,'Holiday (Dates to Exclude)'!$A:$B,2,0),'Holiday (Dates to Exclude)'!$E:$E,)),"MM/DD/YY")</f>
        <v>12/12/19</v>
      </c>
      <c r="C51" s="64" t="str">
        <f t="shared" si="20"/>
        <v>Thu</v>
      </c>
      <c r="D51" s="64" t="str">
        <f t="shared" si="21"/>
        <v>Dec 2019</v>
      </c>
      <c r="E51" s="65" t="s">
        <v>170</v>
      </c>
      <c r="F51" s="62" t="s">
        <v>44</v>
      </c>
      <c r="G51" s="37" t="s">
        <v>148</v>
      </c>
      <c r="H51" s="64" t="str">
        <f t="shared" si="23"/>
        <v>Nov</v>
      </c>
      <c r="I51" s="64" t="str">
        <f t="shared" si="24"/>
        <v>11</v>
      </c>
      <c r="J51" s="64">
        <f t="shared" si="22"/>
        <v>2019</v>
      </c>
      <c r="K51" s="23" t="s">
        <v>37</v>
      </c>
      <c r="L51" s="39" t="s">
        <v>82</v>
      </c>
    </row>
    <row r="52" spans="1:13" s="39" customFormat="1" ht="15" customHeight="1" x14ac:dyDescent="0.4">
      <c r="A52" s="23" t="b">
        <f t="shared" ca="1" si="0"/>
        <v>1</v>
      </c>
      <c r="B52" s="37" t="str">
        <f>TEXT(WORKDAY(DATE($B$1,1,13)-1,1,IF('Holiday (Dates to Exclude)'!$D:$D=VLOOKUP($G52,'Holiday (Dates to Exclude)'!$A:$B,2,0),'Holiday (Dates to Exclude)'!$E:$E,)),"MM/DD/YY")</f>
        <v>01/14/19</v>
      </c>
      <c r="C52" s="64" t="str">
        <f t="shared" ref="C52:C63" si="25">TEXT($B52,"DDD")</f>
        <v>Mon</v>
      </c>
      <c r="D52" s="64" t="str">
        <f t="shared" ref="D52:D63" si="26">TEXT(B52,"MMM YYYY")</f>
        <v>Jan 2019</v>
      </c>
      <c r="E52" s="23" t="s">
        <v>171</v>
      </c>
      <c r="F52" s="23" t="s">
        <v>44</v>
      </c>
      <c r="G52" s="23" t="s">
        <v>159</v>
      </c>
      <c r="H52" s="64" t="str">
        <f t="shared" ref="H52:H63" si="27">TEXT(EDATE($B52,-2),"MMM")</f>
        <v>Nov</v>
      </c>
      <c r="I52" s="64" t="str">
        <f t="shared" ref="I52:I63" si="28">TEXT(EOMONTH($B52,-2),"MM")</f>
        <v>11</v>
      </c>
      <c r="J52" s="64">
        <f t="shared" ref="J52:J63" si="29">YEAR(B52)</f>
        <v>2019</v>
      </c>
      <c r="K52" s="23" t="s">
        <v>66</v>
      </c>
      <c r="L52" s="39" t="s">
        <v>82</v>
      </c>
    </row>
    <row r="53" spans="1:13" s="39" customFormat="1" ht="15" customHeight="1" x14ac:dyDescent="0.4">
      <c r="A53" s="23" t="b">
        <f t="shared" ca="1" si="0"/>
        <v>1</v>
      </c>
      <c r="B53" s="37" t="str">
        <f t="array" ref="B53">TEXT(WORKDAY(DATE($B$1,2,13)-1,1,IF('Holiday (Dates to Exclude)'!$D:$D=VLOOKUP($G53,'Holiday (Dates to Exclude)'!$A:$B,2,0),'Holiday (Dates to Exclude)'!$E:$E,)),"MM/DD/YY")</f>
        <v>02/13/19</v>
      </c>
      <c r="C53" s="64" t="str">
        <f t="shared" si="25"/>
        <v>Wed</v>
      </c>
      <c r="D53" s="64" t="str">
        <f t="shared" si="26"/>
        <v>Feb 2019</v>
      </c>
      <c r="E53" s="23" t="s">
        <v>171</v>
      </c>
      <c r="F53" s="23" t="s">
        <v>44</v>
      </c>
      <c r="G53" s="23" t="s">
        <v>159</v>
      </c>
      <c r="H53" s="64" t="str">
        <f t="shared" si="27"/>
        <v>Dec</v>
      </c>
      <c r="I53" s="64" t="str">
        <f t="shared" si="28"/>
        <v>12</v>
      </c>
      <c r="J53" s="64">
        <f t="shared" si="29"/>
        <v>2019</v>
      </c>
      <c r="K53" s="23" t="s">
        <v>66</v>
      </c>
      <c r="L53" s="39" t="s">
        <v>82</v>
      </c>
    </row>
    <row r="54" spans="1:13" s="39" customFormat="1" ht="15" customHeight="1" x14ac:dyDescent="0.4">
      <c r="A54" s="23" t="b">
        <f t="shared" ca="1" si="0"/>
        <v>1</v>
      </c>
      <c r="B54" s="37" t="str">
        <f t="array" ref="B54">TEXT(WORKDAY(DATE($B$1,3,13)-1,1,IF('Holiday (Dates to Exclude)'!$D:$D=VLOOKUP($G54,'Holiday (Dates to Exclude)'!$A:$B,2,0),'Holiday (Dates to Exclude)'!$E:$E,)),"MM/DD/YY")</f>
        <v>03/13/19</v>
      </c>
      <c r="C54" s="64" t="str">
        <f t="shared" si="25"/>
        <v>Wed</v>
      </c>
      <c r="D54" s="64" t="str">
        <f t="shared" si="26"/>
        <v>Mar 2019</v>
      </c>
      <c r="E54" s="23" t="s">
        <v>171</v>
      </c>
      <c r="F54" s="23" t="s">
        <v>44</v>
      </c>
      <c r="G54" s="23" t="s">
        <v>159</v>
      </c>
      <c r="H54" s="64" t="str">
        <f t="shared" si="27"/>
        <v>Jan</v>
      </c>
      <c r="I54" s="64" t="str">
        <f t="shared" si="28"/>
        <v>01</v>
      </c>
      <c r="J54" s="64">
        <f t="shared" si="29"/>
        <v>2019</v>
      </c>
      <c r="K54" s="23" t="s">
        <v>66</v>
      </c>
      <c r="L54" s="39" t="s">
        <v>82</v>
      </c>
    </row>
    <row r="55" spans="1:13" s="39" customFormat="1" ht="15" customHeight="1" x14ac:dyDescent="0.4">
      <c r="A55" s="23" t="b">
        <f t="shared" ca="1" si="0"/>
        <v>1</v>
      </c>
      <c r="B55" s="37" t="str">
        <f t="array" ref="B55">TEXT(WORKDAY(DATE($B$1,4,13)-1,1,IF('Holiday (Dates to Exclude)'!$D:$D=VLOOKUP($G55,'Holiday (Dates to Exclude)'!$A:$B,2,0),'Holiday (Dates to Exclude)'!$E:$E,)),"MM/DD/YY")</f>
        <v>04/15/19</v>
      </c>
      <c r="C55" s="64" t="str">
        <f t="shared" si="25"/>
        <v>Mon</v>
      </c>
      <c r="D55" s="64" t="str">
        <f t="shared" si="26"/>
        <v>Apr 2019</v>
      </c>
      <c r="E55" s="23" t="s">
        <v>171</v>
      </c>
      <c r="F55" s="23" t="s">
        <v>44</v>
      </c>
      <c r="G55" s="23" t="s">
        <v>159</v>
      </c>
      <c r="H55" s="64" t="str">
        <f t="shared" si="27"/>
        <v>Feb</v>
      </c>
      <c r="I55" s="64" t="str">
        <f t="shared" si="28"/>
        <v>02</v>
      </c>
      <c r="J55" s="64">
        <f t="shared" si="29"/>
        <v>2019</v>
      </c>
      <c r="K55" s="23" t="s">
        <v>66</v>
      </c>
      <c r="L55" s="39" t="s">
        <v>82</v>
      </c>
    </row>
    <row r="56" spans="1:13" s="39" customFormat="1" ht="15" customHeight="1" x14ac:dyDescent="0.4">
      <c r="A56" s="23" t="b">
        <f t="shared" ca="1" si="0"/>
        <v>1</v>
      </c>
      <c r="B56" s="37" t="str">
        <f t="array" ref="B56">TEXT(WORKDAY(DATE($B$1,5,13)-1,1,IF('Holiday (Dates to Exclude)'!$D:$D=VLOOKUP($G56,'Holiday (Dates to Exclude)'!$A:$B,2,0),'Holiday (Dates to Exclude)'!$E:$E,)),"MM/DD/YY")</f>
        <v>05/13/19</v>
      </c>
      <c r="C56" s="64" t="str">
        <f t="shared" si="25"/>
        <v>Mon</v>
      </c>
      <c r="D56" s="64" t="str">
        <f t="shared" si="26"/>
        <v>May 2019</v>
      </c>
      <c r="E56" s="23" t="s">
        <v>171</v>
      </c>
      <c r="F56" s="23" t="s">
        <v>44</v>
      </c>
      <c r="G56" s="23" t="s">
        <v>159</v>
      </c>
      <c r="H56" s="64" t="str">
        <f t="shared" si="27"/>
        <v>Mar</v>
      </c>
      <c r="I56" s="64" t="str">
        <f t="shared" si="28"/>
        <v>03</v>
      </c>
      <c r="J56" s="64">
        <f t="shared" si="29"/>
        <v>2019</v>
      </c>
      <c r="K56" s="23" t="s">
        <v>66</v>
      </c>
      <c r="L56" s="39" t="s">
        <v>82</v>
      </c>
    </row>
    <row r="57" spans="1:13" s="39" customFormat="1" ht="15" customHeight="1" x14ac:dyDescent="0.4">
      <c r="A57" s="23" t="b">
        <f t="shared" ca="1" si="0"/>
        <v>0</v>
      </c>
      <c r="B57" s="37" t="str">
        <f t="array" ref="B57">TEXT(WORKDAY(DATE($B$1,6,13)-1,1,IF('Holiday (Dates to Exclude)'!$D:$D=VLOOKUP($G57,'Holiday (Dates to Exclude)'!$A:$B,2,0),'Holiday (Dates to Exclude)'!$E:$E,)),"MM/DD/YY")</f>
        <v>06/13/19</v>
      </c>
      <c r="C57" s="64" t="str">
        <f t="shared" si="25"/>
        <v>Thu</v>
      </c>
      <c r="D57" s="64" t="str">
        <f t="shared" si="26"/>
        <v>Jun 2019</v>
      </c>
      <c r="E57" s="23" t="s">
        <v>171</v>
      </c>
      <c r="F57" s="23" t="s">
        <v>44</v>
      </c>
      <c r="G57" s="23" t="s">
        <v>159</v>
      </c>
      <c r="H57" s="64" t="str">
        <f t="shared" si="27"/>
        <v>Apr</v>
      </c>
      <c r="I57" s="64" t="str">
        <f t="shared" si="28"/>
        <v>04</v>
      </c>
      <c r="J57" s="64">
        <f t="shared" si="29"/>
        <v>2019</v>
      </c>
      <c r="K57" s="23" t="s">
        <v>66</v>
      </c>
      <c r="L57" s="39" t="s">
        <v>82</v>
      </c>
    </row>
    <row r="58" spans="1:13" s="39" customFormat="1" ht="15" customHeight="1" x14ac:dyDescent="0.4">
      <c r="A58" s="23" t="b">
        <f t="shared" ca="1" si="0"/>
        <v>0</v>
      </c>
      <c r="B58" s="37" t="str">
        <f t="array" ref="B58">TEXT(WORKDAY(DATE($B$1,7,13)-1,1,IF('Holiday (Dates to Exclude)'!$D:$D=VLOOKUP($G58,'Holiday (Dates to Exclude)'!$A:$B,2,0),'Holiday (Dates to Exclude)'!$E:$E,)),"MM/DD/YY")</f>
        <v>07/15/19</v>
      </c>
      <c r="C58" s="64" t="str">
        <f t="shared" si="25"/>
        <v>Mon</v>
      </c>
      <c r="D58" s="64" t="str">
        <f t="shared" si="26"/>
        <v>Jul 2019</v>
      </c>
      <c r="E58" s="23" t="s">
        <v>171</v>
      </c>
      <c r="F58" s="23" t="s">
        <v>44</v>
      </c>
      <c r="G58" s="23" t="s">
        <v>159</v>
      </c>
      <c r="H58" s="64" t="str">
        <f t="shared" si="27"/>
        <v>May</v>
      </c>
      <c r="I58" s="64" t="str">
        <f t="shared" si="28"/>
        <v>05</v>
      </c>
      <c r="J58" s="64">
        <f t="shared" si="29"/>
        <v>2019</v>
      </c>
      <c r="K58" s="23" t="s">
        <v>66</v>
      </c>
      <c r="L58" s="39" t="s">
        <v>82</v>
      </c>
    </row>
    <row r="59" spans="1:13" s="39" customFormat="1" ht="15" customHeight="1" x14ac:dyDescent="0.4">
      <c r="A59" s="23" t="b">
        <f t="shared" ca="1" si="0"/>
        <v>0</v>
      </c>
      <c r="B59" s="37" t="str">
        <f t="array" ref="B59">TEXT(WORKDAY(DATE($B$1,8,13)-1,1,IF('Holiday (Dates to Exclude)'!$D:$D=VLOOKUP($G59,'Holiday (Dates to Exclude)'!$A:$B,2,0),'Holiday (Dates to Exclude)'!$E:$E,)),"MM/DD/YY")</f>
        <v>08/13/19</v>
      </c>
      <c r="C59" s="64" t="str">
        <f t="shared" si="25"/>
        <v>Tue</v>
      </c>
      <c r="D59" s="64" t="str">
        <f t="shared" si="26"/>
        <v>Aug 2019</v>
      </c>
      <c r="E59" s="23" t="s">
        <v>171</v>
      </c>
      <c r="F59" s="23" t="s">
        <v>44</v>
      </c>
      <c r="G59" s="23" t="s">
        <v>159</v>
      </c>
      <c r="H59" s="64" t="str">
        <f t="shared" si="27"/>
        <v>Jun</v>
      </c>
      <c r="I59" s="64" t="str">
        <f t="shared" si="28"/>
        <v>06</v>
      </c>
      <c r="J59" s="64">
        <f t="shared" si="29"/>
        <v>2019</v>
      </c>
      <c r="K59" s="23" t="s">
        <v>66</v>
      </c>
      <c r="L59" s="39" t="s">
        <v>82</v>
      </c>
    </row>
    <row r="60" spans="1:13" s="39" customFormat="1" ht="15" customHeight="1" x14ac:dyDescent="0.4">
      <c r="A60" s="23" t="b">
        <f t="shared" ca="1" si="0"/>
        <v>0</v>
      </c>
      <c r="B60" s="37" t="str">
        <f t="array" ref="B60">TEXT(WORKDAY(DATE($B$1,9,13)-1,1,IF('Holiday (Dates to Exclude)'!$D:$D=VLOOKUP($G60,'Holiday (Dates to Exclude)'!$A:$B,2,0),'Holiday (Dates to Exclude)'!$E:$E,)),"MM/DD/YY")</f>
        <v>09/13/19</v>
      </c>
      <c r="C60" s="64" t="str">
        <f t="shared" si="25"/>
        <v>Fri</v>
      </c>
      <c r="D60" s="64" t="str">
        <f t="shared" si="26"/>
        <v>Sep 2019</v>
      </c>
      <c r="E60" s="23" t="s">
        <v>171</v>
      </c>
      <c r="F60" s="23" t="s">
        <v>44</v>
      </c>
      <c r="G60" s="23" t="s">
        <v>159</v>
      </c>
      <c r="H60" s="64" t="str">
        <f t="shared" si="27"/>
        <v>Jul</v>
      </c>
      <c r="I60" s="64" t="str">
        <f t="shared" si="28"/>
        <v>07</v>
      </c>
      <c r="J60" s="64">
        <f t="shared" si="29"/>
        <v>2019</v>
      </c>
      <c r="K60" s="23" t="s">
        <v>66</v>
      </c>
      <c r="L60" s="39" t="s">
        <v>82</v>
      </c>
    </row>
    <row r="61" spans="1:13" s="39" customFormat="1" ht="15" customHeight="1" x14ac:dyDescent="0.4">
      <c r="A61" s="23" t="b">
        <f t="shared" ca="1" si="0"/>
        <v>0</v>
      </c>
      <c r="B61" s="37" t="str">
        <f t="array" ref="B61">TEXT(WORKDAY(DATE($B$1,10,13)-1,1,IF('Holiday (Dates to Exclude)'!$D:$D=VLOOKUP($G61,'Holiday (Dates to Exclude)'!$A:$B,2,0),'Holiday (Dates to Exclude)'!$E:$E,)),"MM/DD/YY")</f>
        <v>10/14/19</v>
      </c>
      <c r="C61" s="64" t="str">
        <f t="shared" si="25"/>
        <v>Mon</v>
      </c>
      <c r="D61" s="64" t="str">
        <f t="shared" si="26"/>
        <v>Oct 2019</v>
      </c>
      <c r="E61" s="23" t="s">
        <v>171</v>
      </c>
      <c r="F61" s="23" t="s">
        <v>44</v>
      </c>
      <c r="G61" s="23" t="s">
        <v>159</v>
      </c>
      <c r="H61" s="64" t="str">
        <f t="shared" si="27"/>
        <v>Aug</v>
      </c>
      <c r="I61" s="64" t="str">
        <f t="shared" si="28"/>
        <v>08</v>
      </c>
      <c r="J61" s="64">
        <f t="shared" si="29"/>
        <v>2019</v>
      </c>
      <c r="K61" s="23" t="s">
        <v>66</v>
      </c>
      <c r="L61" s="39" t="s">
        <v>82</v>
      </c>
    </row>
    <row r="62" spans="1:13" s="39" customFormat="1" ht="15" customHeight="1" x14ac:dyDescent="0.4">
      <c r="A62" s="23" t="b">
        <f t="shared" ca="1" si="0"/>
        <v>0</v>
      </c>
      <c r="B62" s="37" t="str">
        <f t="array" ref="B62">TEXT(WORKDAY(DATE($B$1,11,13)-1,1,IF('Holiday (Dates to Exclude)'!$D:$D=VLOOKUP($G62,'Holiday (Dates to Exclude)'!$A:$B,2,0),'Holiday (Dates to Exclude)'!$E:$E,)),"MM/DD/YY")</f>
        <v>11/13/19</v>
      </c>
      <c r="C62" s="64" t="str">
        <f t="shared" si="25"/>
        <v>Wed</v>
      </c>
      <c r="D62" s="64" t="str">
        <f t="shared" si="26"/>
        <v>Nov 2019</v>
      </c>
      <c r="E62" s="23" t="s">
        <v>171</v>
      </c>
      <c r="F62" s="23" t="s">
        <v>44</v>
      </c>
      <c r="G62" s="23" t="s">
        <v>159</v>
      </c>
      <c r="H62" s="64" t="str">
        <f t="shared" si="27"/>
        <v>Sep</v>
      </c>
      <c r="I62" s="64" t="str">
        <f t="shared" si="28"/>
        <v>09</v>
      </c>
      <c r="J62" s="64">
        <f t="shared" si="29"/>
        <v>2019</v>
      </c>
      <c r="K62" s="23" t="s">
        <v>66</v>
      </c>
      <c r="L62" s="39" t="s">
        <v>82</v>
      </c>
    </row>
    <row r="63" spans="1:13" s="39" customFormat="1" ht="15" customHeight="1" x14ac:dyDescent="0.4">
      <c r="A63" s="23" t="b">
        <f t="shared" ca="1" si="0"/>
        <v>0</v>
      </c>
      <c r="B63" s="37" t="str">
        <f t="array" ref="B63">TEXT(WORKDAY(DATE($B$1,12,13)-1,1,IF('Holiday (Dates to Exclude)'!$D:$D=VLOOKUP($G63,'Holiday (Dates to Exclude)'!$A:$B,2,0),'Holiday (Dates to Exclude)'!$E:$E,)),"MM/DD/YY")</f>
        <v>12/13/19</v>
      </c>
      <c r="C63" s="64" t="str">
        <f t="shared" si="25"/>
        <v>Fri</v>
      </c>
      <c r="D63" s="64" t="str">
        <f t="shared" si="26"/>
        <v>Dec 2019</v>
      </c>
      <c r="E63" s="23" t="s">
        <v>171</v>
      </c>
      <c r="F63" s="23" t="s">
        <v>44</v>
      </c>
      <c r="G63" s="23" t="s">
        <v>159</v>
      </c>
      <c r="H63" s="64" t="str">
        <f t="shared" si="27"/>
        <v>Oct</v>
      </c>
      <c r="I63" s="64" t="str">
        <f t="shared" si="28"/>
        <v>10</v>
      </c>
      <c r="J63" s="64">
        <f t="shared" si="29"/>
        <v>2019</v>
      </c>
      <c r="K63" s="23" t="s">
        <v>66</v>
      </c>
      <c r="L63" s="39" t="s">
        <v>82</v>
      </c>
    </row>
    <row r="64" spans="1:13" s="39" customFormat="1" ht="15" customHeight="1" x14ac:dyDescent="0.4">
      <c r="A64" s="23" t="b">
        <f t="shared" ca="1" si="0"/>
        <v>1</v>
      </c>
      <c r="B64" s="37" t="str">
        <f>TEXT(WORKDAY(DATE($B$1,1,14)-1,1,IF('Holiday (Dates to Exclude)'!$D:$D=VLOOKUP($G64,'Holiday (Dates to Exclude)'!$A:$B,2,0),'Holiday (Dates to Exclude)'!$E:$E,)),"MM/DD/YY")</f>
        <v>01/14/19</v>
      </c>
      <c r="C64" s="64" t="str">
        <f t="shared" ref="C64:C75" si="30">TEXT($B64,"DDD")</f>
        <v>Mon</v>
      </c>
      <c r="D64" s="64" t="str">
        <f t="shared" ref="D64:D75" si="31">TEXT(B64,"MMM YYYY")</f>
        <v>Jan 2019</v>
      </c>
      <c r="E64" s="23" t="s">
        <v>173</v>
      </c>
      <c r="F64" s="23" t="s">
        <v>44</v>
      </c>
      <c r="G64" s="23" t="s">
        <v>146</v>
      </c>
      <c r="H64" s="64" t="str">
        <f>TEXT(EDATE($B64,-1),"MMM")</f>
        <v>Dec</v>
      </c>
      <c r="I64" s="64" t="str">
        <f>TEXT(EOMONTH($B64,-1),"MM")</f>
        <v>12</v>
      </c>
      <c r="J64" s="64">
        <f t="shared" ref="J64:J75" si="32">YEAR(B64)</f>
        <v>2019</v>
      </c>
      <c r="K64" s="23" t="s">
        <v>46</v>
      </c>
      <c r="L64" s="39" t="s">
        <v>82</v>
      </c>
    </row>
    <row r="65" spans="1:12" s="39" customFormat="1" ht="15" customHeight="1" x14ac:dyDescent="0.4">
      <c r="A65" s="23" t="b">
        <f t="shared" ca="1" si="0"/>
        <v>1</v>
      </c>
      <c r="B65" s="37" t="str">
        <f t="array" ref="B65">TEXT(WORKDAY(DATE($B$1,2,14)-1,1,IF('Holiday (Dates to Exclude)'!$D:$D=VLOOKUP($G65,'Holiday (Dates to Exclude)'!$A:$B,2,0),'Holiday (Dates to Exclude)'!$E:$E,)),"MM/DD/YY")</f>
        <v>02/14/19</v>
      </c>
      <c r="C65" s="64" t="str">
        <f t="shared" si="30"/>
        <v>Thu</v>
      </c>
      <c r="D65" s="64" t="str">
        <f t="shared" si="31"/>
        <v>Feb 2019</v>
      </c>
      <c r="E65" s="23" t="s">
        <v>173</v>
      </c>
      <c r="F65" s="23" t="s">
        <v>44</v>
      </c>
      <c r="G65" s="23" t="s">
        <v>146</v>
      </c>
      <c r="H65" s="64" t="str">
        <f t="shared" ref="H65:H75" si="33">TEXT(EDATE($B65,-1),"MMM")</f>
        <v>Jan</v>
      </c>
      <c r="I65" s="64" t="str">
        <f t="shared" ref="I65:I75" si="34">TEXT(EOMONTH($B65,-1),"MM")</f>
        <v>01</v>
      </c>
      <c r="J65" s="64">
        <f t="shared" si="32"/>
        <v>2019</v>
      </c>
      <c r="K65" s="23" t="s">
        <v>46</v>
      </c>
      <c r="L65" s="39" t="s">
        <v>82</v>
      </c>
    </row>
    <row r="66" spans="1:12" s="39" customFormat="1" ht="15" customHeight="1" x14ac:dyDescent="0.4">
      <c r="A66" s="23" t="b">
        <f t="shared" ca="1" si="0"/>
        <v>1</v>
      </c>
      <c r="B66" s="37" t="str">
        <f t="array" ref="B66">TEXT(WORKDAY(DATE($B$1,3,14)-1,1,IF('Holiday (Dates to Exclude)'!$D:$D=VLOOKUP($G66,'Holiday (Dates to Exclude)'!$A:$B,2,0),'Holiday (Dates to Exclude)'!$E:$E,)),"MM/DD/YY")</f>
        <v>03/14/19</v>
      </c>
      <c r="C66" s="64" t="str">
        <f t="shared" si="30"/>
        <v>Thu</v>
      </c>
      <c r="D66" s="64" t="str">
        <f t="shared" si="31"/>
        <v>Mar 2019</v>
      </c>
      <c r="E66" s="23" t="s">
        <v>173</v>
      </c>
      <c r="F66" s="23" t="s">
        <v>44</v>
      </c>
      <c r="G66" s="23" t="s">
        <v>146</v>
      </c>
      <c r="H66" s="64" t="str">
        <f t="shared" si="33"/>
        <v>Feb</v>
      </c>
      <c r="I66" s="64" t="str">
        <f t="shared" si="34"/>
        <v>02</v>
      </c>
      <c r="J66" s="64">
        <f t="shared" si="32"/>
        <v>2019</v>
      </c>
      <c r="K66" s="23" t="s">
        <v>46</v>
      </c>
      <c r="L66" s="39" t="s">
        <v>82</v>
      </c>
    </row>
    <row r="67" spans="1:12" s="39" customFormat="1" ht="15" customHeight="1" x14ac:dyDescent="0.4">
      <c r="A67" s="23" t="b">
        <f t="shared" ca="1" si="0"/>
        <v>1</v>
      </c>
      <c r="B67" s="37" t="str">
        <f t="array" ref="B67">TEXT(WORKDAY(DATE($B$1,4,14)-1,1,IF('Holiday (Dates to Exclude)'!$D:$D=VLOOKUP($G67,'Holiday (Dates to Exclude)'!$A:$B,2,0),'Holiday (Dates to Exclude)'!$E:$E,)),"MM/DD/YY")</f>
        <v>04/15/19</v>
      </c>
      <c r="C67" s="64" t="str">
        <f t="shared" si="30"/>
        <v>Mon</v>
      </c>
      <c r="D67" s="64" t="str">
        <f t="shared" si="31"/>
        <v>Apr 2019</v>
      </c>
      <c r="E67" s="23" t="s">
        <v>173</v>
      </c>
      <c r="F67" s="23" t="s">
        <v>44</v>
      </c>
      <c r="G67" s="23" t="s">
        <v>146</v>
      </c>
      <c r="H67" s="64" t="str">
        <f t="shared" si="33"/>
        <v>Mar</v>
      </c>
      <c r="I67" s="64" t="str">
        <f t="shared" si="34"/>
        <v>03</v>
      </c>
      <c r="J67" s="64">
        <f t="shared" si="32"/>
        <v>2019</v>
      </c>
      <c r="K67" s="23" t="s">
        <v>46</v>
      </c>
      <c r="L67" s="39" t="s">
        <v>82</v>
      </c>
    </row>
    <row r="68" spans="1:12" s="39" customFormat="1" ht="15" customHeight="1" x14ac:dyDescent="0.4">
      <c r="A68" s="23" t="b">
        <f t="shared" ca="1" si="0"/>
        <v>1</v>
      </c>
      <c r="B68" s="37" t="str">
        <f t="array" ref="B68">TEXT(WORKDAY(DATE($B$1,5,14)-1,1,IF('Holiday (Dates to Exclude)'!$D:$D=VLOOKUP($G68,'Holiday (Dates to Exclude)'!$A:$B,2,0),'Holiday (Dates to Exclude)'!$E:$E,)),"MM/DD/YY")</f>
        <v>05/14/19</v>
      </c>
      <c r="C68" s="64" t="str">
        <f t="shared" si="30"/>
        <v>Tue</v>
      </c>
      <c r="D68" s="64" t="str">
        <f t="shared" si="31"/>
        <v>May 2019</v>
      </c>
      <c r="E68" s="23" t="s">
        <v>173</v>
      </c>
      <c r="F68" s="23" t="s">
        <v>44</v>
      </c>
      <c r="G68" s="23" t="s">
        <v>146</v>
      </c>
      <c r="H68" s="64" t="str">
        <f t="shared" si="33"/>
        <v>Apr</v>
      </c>
      <c r="I68" s="64" t="str">
        <f t="shared" si="34"/>
        <v>04</v>
      </c>
      <c r="J68" s="64">
        <f t="shared" si="32"/>
        <v>2019</v>
      </c>
      <c r="K68" s="23" t="s">
        <v>46</v>
      </c>
      <c r="L68" s="39" t="s">
        <v>82</v>
      </c>
    </row>
    <row r="69" spans="1:12" s="39" customFormat="1" ht="15" customHeight="1" x14ac:dyDescent="0.4">
      <c r="A69" s="23" t="b">
        <f t="shared" ref="A69:A132" ca="1" si="35">TODAY()&gt;=DATE(YEAR(B69),MONTH(B69),DAY(B69))</f>
        <v>0</v>
      </c>
      <c r="B69" s="37" t="str">
        <f t="array" ref="B69">TEXT(WORKDAY(DATE($B$1,6,14)-1,1,IF('Holiday (Dates to Exclude)'!$D:$D=VLOOKUP($G69,'Holiday (Dates to Exclude)'!$A:$B,2,0),'Holiday (Dates to Exclude)'!$E:$E,)),"MM/DD/YY")</f>
        <v>06/14/19</v>
      </c>
      <c r="C69" s="64" t="str">
        <f t="shared" si="30"/>
        <v>Fri</v>
      </c>
      <c r="D69" s="64" t="str">
        <f t="shared" si="31"/>
        <v>Jun 2019</v>
      </c>
      <c r="E69" s="23" t="s">
        <v>173</v>
      </c>
      <c r="F69" s="23" t="s">
        <v>44</v>
      </c>
      <c r="G69" s="23" t="s">
        <v>146</v>
      </c>
      <c r="H69" s="64" t="str">
        <f t="shared" si="33"/>
        <v>May</v>
      </c>
      <c r="I69" s="64" t="str">
        <f t="shared" si="34"/>
        <v>05</v>
      </c>
      <c r="J69" s="64">
        <f t="shared" si="32"/>
        <v>2019</v>
      </c>
      <c r="K69" s="23" t="s">
        <v>46</v>
      </c>
      <c r="L69" s="39" t="s">
        <v>82</v>
      </c>
    </row>
    <row r="70" spans="1:12" s="39" customFormat="1" ht="15" customHeight="1" x14ac:dyDescent="0.4">
      <c r="A70" s="23" t="b">
        <f t="shared" ca="1" si="35"/>
        <v>0</v>
      </c>
      <c r="B70" s="37" t="str">
        <f t="array" ref="B70">TEXT(WORKDAY(DATE($B$1,7,14)-1,1,IF('Holiday (Dates to Exclude)'!$D:$D=VLOOKUP($G70,'Holiday (Dates to Exclude)'!$A:$B,2,0),'Holiday (Dates to Exclude)'!$E:$E,)),"MM/DD/YY")</f>
        <v>07/15/19</v>
      </c>
      <c r="C70" s="64" t="str">
        <f t="shared" si="30"/>
        <v>Mon</v>
      </c>
      <c r="D70" s="64" t="str">
        <f t="shared" si="31"/>
        <v>Jul 2019</v>
      </c>
      <c r="E70" s="23" t="s">
        <v>173</v>
      </c>
      <c r="F70" s="23" t="s">
        <v>44</v>
      </c>
      <c r="G70" s="23" t="s">
        <v>146</v>
      </c>
      <c r="H70" s="64" t="str">
        <f t="shared" si="33"/>
        <v>Jun</v>
      </c>
      <c r="I70" s="64" t="str">
        <f t="shared" si="34"/>
        <v>06</v>
      </c>
      <c r="J70" s="64">
        <f t="shared" si="32"/>
        <v>2019</v>
      </c>
      <c r="K70" s="23" t="s">
        <v>46</v>
      </c>
      <c r="L70" s="39" t="s">
        <v>82</v>
      </c>
    </row>
    <row r="71" spans="1:12" s="39" customFormat="1" ht="15" customHeight="1" x14ac:dyDescent="0.4">
      <c r="A71" s="23" t="b">
        <f t="shared" ca="1" si="35"/>
        <v>0</v>
      </c>
      <c r="B71" s="37" t="str">
        <f t="array" ref="B71">TEXT(WORKDAY(DATE($B$1,8,14)-1,1,IF('Holiday (Dates to Exclude)'!$D:$D=VLOOKUP($G71,'Holiday (Dates to Exclude)'!$A:$B,2,0),'Holiday (Dates to Exclude)'!$E:$E,)),"MM/DD/YY")</f>
        <v>08/14/19</v>
      </c>
      <c r="C71" s="64" t="str">
        <f t="shared" si="30"/>
        <v>Wed</v>
      </c>
      <c r="D71" s="64" t="str">
        <f t="shared" si="31"/>
        <v>Aug 2019</v>
      </c>
      <c r="E71" s="23" t="s">
        <v>173</v>
      </c>
      <c r="F71" s="23" t="s">
        <v>44</v>
      </c>
      <c r="G71" s="23" t="s">
        <v>146</v>
      </c>
      <c r="H71" s="64" t="str">
        <f t="shared" si="33"/>
        <v>Jul</v>
      </c>
      <c r="I71" s="64" t="str">
        <f t="shared" si="34"/>
        <v>07</v>
      </c>
      <c r="J71" s="64">
        <f t="shared" si="32"/>
        <v>2019</v>
      </c>
      <c r="K71" s="23" t="s">
        <v>46</v>
      </c>
      <c r="L71" s="39" t="s">
        <v>82</v>
      </c>
    </row>
    <row r="72" spans="1:12" s="39" customFormat="1" ht="15" customHeight="1" x14ac:dyDescent="0.4">
      <c r="A72" s="23" t="b">
        <f t="shared" ca="1" si="35"/>
        <v>0</v>
      </c>
      <c r="B72" s="37" t="str">
        <f t="array" ref="B72">TEXT(WORKDAY(DATE($B$1,9,14)-1,1,IF('Holiday (Dates to Exclude)'!$D:$D=VLOOKUP($G72,'Holiday (Dates to Exclude)'!$A:$B,2,0),'Holiday (Dates to Exclude)'!$E:$E,)),"MM/DD/YY")</f>
        <v>09/16/19</v>
      </c>
      <c r="C72" s="64" t="str">
        <f t="shared" si="30"/>
        <v>Mon</v>
      </c>
      <c r="D72" s="64" t="str">
        <f t="shared" si="31"/>
        <v>Sep 2019</v>
      </c>
      <c r="E72" s="23" t="s">
        <v>173</v>
      </c>
      <c r="F72" s="23" t="s">
        <v>44</v>
      </c>
      <c r="G72" s="23" t="s">
        <v>146</v>
      </c>
      <c r="H72" s="64" t="str">
        <f t="shared" si="33"/>
        <v>Aug</v>
      </c>
      <c r="I72" s="64" t="str">
        <f t="shared" si="34"/>
        <v>08</v>
      </c>
      <c r="J72" s="64">
        <f t="shared" si="32"/>
        <v>2019</v>
      </c>
      <c r="K72" s="23" t="s">
        <v>46</v>
      </c>
      <c r="L72" s="39" t="s">
        <v>82</v>
      </c>
    </row>
    <row r="73" spans="1:12" s="39" customFormat="1" ht="15" customHeight="1" x14ac:dyDescent="0.4">
      <c r="A73" s="23" t="b">
        <f t="shared" ca="1" si="35"/>
        <v>0</v>
      </c>
      <c r="B73" s="37" t="str">
        <f t="array" ref="B73">TEXT(WORKDAY(DATE($B$1,10,14)-1,1,IF('Holiday (Dates to Exclude)'!$D:$D=VLOOKUP($G73,'Holiday (Dates to Exclude)'!$A:$B,2,0),'Holiday (Dates to Exclude)'!$E:$E,)),"MM/DD/YY")</f>
        <v>10/14/19</v>
      </c>
      <c r="C73" s="64" t="str">
        <f t="shared" si="30"/>
        <v>Mon</v>
      </c>
      <c r="D73" s="64" t="str">
        <f t="shared" si="31"/>
        <v>Oct 2019</v>
      </c>
      <c r="E73" s="23" t="s">
        <v>173</v>
      </c>
      <c r="F73" s="23" t="s">
        <v>44</v>
      </c>
      <c r="G73" s="23" t="s">
        <v>146</v>
      </c>
      <c r="H73" s="64" t="str">
        <f t="shared" si="33"/>
        <v>Sep</v>
      </c>
      <c r="I73" s="64" t="str">
        <f t="shared" si="34"/>
        <v>09</v>
      </c>
      <c r="J73" s="64">
        <f t="shared" si="32"/>
        <v>2019</v>
      </c>
      <c r="K73" s="23" t="s">
        <v>46</v>
      </c>
      <c r="L73" s="39" t="s">
        <v>82</v>
      </c>
    </row>
    <row r="74" spans="1:12" s="39" customFormat="1" ht="15" customHeight="1" x14ac:dyDescent="0.4">
      <c r="A74" s="23" t="b">
        <f t="shared" ca="1" si="35"/>
        <v>0</v>
      </c>
      <c r="B74" s="37" t="str">
        <f t="array" ref="B74">TEXT(WORKDAY(DATE($B$1,11,14)-1,1,IF('Holiday (Dates to Exclude)'!$D:$D=VLOOKUP($G74,'Holiday (Dates to Exclude)'!$A:$B,2,0),'Holiday (Dates to Exclude)'!$E:$E,)),"MM/DD/YY")</f>
        <v>11/14/19</v>
      </c>
      <c r="C74" s="64" t="str">
        <f t="shared" si="30"/>
        <v>Thu</v>
      </c>
      <c r="D74" s="64" t="str">
        <f t="shared" si="31"/>
        <v>Nov 2019</v>
      </c>
      <c r="E74" s="23" t="s">
        <v>173</v>
      </c>
      <c r="F74" s="23" t="s">
        <v>44</v>
      </c>
      <c r="G74" s="23" t="s">
        <v>146</v>
      </c>
      <c r="H74" s="64" t="str">
        <f t="shared" si="33"/>
        <v>Oct</v>
      </c>
      <c r="I74" s="64" t="str">
        <f t="shared" si="34"/>
        <v>10</v>
      </c>
      <c r="J74" s="64">
        <f t="shared" si="32"/>
        <v>2019</v>
      </c>
      <c r="K74" s="23" t="s">
        <v>46</v>
      </c>
      <c r="L74" s="39" t="s">
        <v>82</v>
      </c>
    </row>
    <row r="75" spans="1:12" s="39" customFormat="1" ht="15" customHeight="1" x14ac:dyDescent="0.4">
      <c r="A75" s="23" t="b">
        <f t="shared" ca="1" si="35"/>
        <v>0</v>
      </c>
      <c r="B75" s="37" t="str">
        <f t="array" ref="B75">TEXT(WORKDAY(DATE($B$1,12,14)-1,1,IF('Holiday (Dates to Exclude)'!$D:$D=VLOOKUP($G75,'Holiday (Dates to Exclude)'!$A:$B,2,0),'Holiday (Dates to Exclude)'!$E:$E,)),"MM/DD/YY")</f>
        <v>12/16/19</v>
      </c>
      <c r="C75" s="64" t="str">
        <f t="shared" si="30"/>
        <v>Mon</v>
      </c>
      <c r="D75" s="64" t="str">
        <f t="shared" si="31"/>
        <v>Dec 2019</v>
      </c>
      <c r="E75" s="23" t="s">
        <v>173</v>
      </c>
      <c r="F75" s="23" t="s">
        <v>44</v>
      </c>
      <c r="G75" s="23" t="s">
        <v>146</v>
      </c>
      <c r="H75" s="64" t="str">
        <f t="shared" si="33"/>
        <v>Nov</v>
      </c>
      <c r="I75" s="64" t="str">
        <f t="shared" si="34"/>
        <v>11</v>
      </c>
      <c r="J75" s="64">
        <f t="shared" si="32"/>
        <v>2019</v>
      </c>
      <c r="K75" s="23" t="s">
        <v>46</v>
      </c>
      <c r="L75" s="39" t="s">
        <v>82</v>
      </c>
    </row>
    <row r="76" spans="1:12" s="39" customFormat="1" ht="15" customHeight="1" x14ac:dyDescent="0.4">
      <c r="A76" s="23" t="b">
        <f t="shared" ca="1" si="35"/>
        <v>1</v>
      </c>
      <c r="B76" s="37" t="str">
        <f>TEXT(WORKDAY(DATE($B$1,1,15)-1,1,IF('Holiday (Dates to Exclude)'!$D:$D=VLOOKUP($G76,'Holiday (Dates to Exclude)'!$A:$B,2,0),'Holiday (Dates to Exclude)'!$E:$E,)),"MM/DD/YY")</f>
        <v>01/15/19</v>
      </c>
      <c r="C76" s="64" t="str">
        <f t="shared" ref="C76:C87" si="36">TEXT($B76,"DDD")</f>
        <v>Tue</v>
      </c>
      <c r="D76" s="64" t="str">
        <f t="shared" ref="D76:D87" si="37">TEXT(B76,"MMM YYYY")</f>
        <v>Jan 2019</v>
      </c>
      <c r="E76" s="23" t="s">
        <v>170</v>
      </c>
      <c r="F76" s="23" t="s">
        <v>44</v>
      </c>
      <c r="G76" s="23" t="s">
        <v>146</v>
      </c>
      <c r="H76" s="64" t="str">
        <f>TEXT(EDATE($B76,-1),"MMM")</f>
        <v>Dec</v>
      </c>
      <c r="I76" s="64" t="str">
        <f>TEXT(EOMONTH($B76,-1),"MM")</f>
        <v>12</v>
      </c>
      <c r="J76" s="64">
        <f t="shared" ref="J76:J87" si="38">YEAR(B76)</f>
        <v>2019</v>
      </c>
      <c r="K76" s="23" t="s">
        <v>86</v>
      </c>
      <c r="L76" s="39" t="s">
        <v>82</v>
      </c>
    </row>
    <row r="77" spans="1:12" s="39" customFormat="1" ht="15" customHeight="1" x14ac:dyDescent="0.4">
      <c r="A77" s="23" t="b">
        <f t="shared" ca="1" si="35"/>
        <v>1</v>
      </c>
      <c r="B77" s="37" t="str">
        <f t="array" ref="B77">TEXT(WORKDAY(DATE($B$1,2,15)-1,1,IF('Holiday (Dates to Exclude)'!$D:$D=VLOOKUP($G77,'Holiday (Dates to Exclude)'!$A:$B,2,0),'Holiday (Dates to Exclude)'!$E:$E,)),"MM/DD/YY")</f>
        <v>02/15/19</v>
      </c>
      <c r="C77" s="64" t="str">
        <f t="shared" si="36"/>
        <v>Fri</v>
      </c>
      <c r="D77" s="64" t="str">
        <f t="shared" si="37"/>
        <v>Feb 2019</v>
      </c>
      <c r="E77" s="23" t="s">
        <v>170</v>
      </c>
      <c r="F77" s="23" t="s">
        <v>44</v>
      </c>
      <c r="G77" s="23" t="s">
        <v>146</v>
      </c>
      <c r="H77" s="64" t="str">
        <f t="shared" ref="H77:H87" si="39">TEXT(EDATE($B77,-1),"MMM")</f>
        <v>Jan</v>
      </c>
      <c r="I77" s="64" t="str">
        <f t="shared" ref="I77:I87" si="40">TEXT(EOMONTH($B77,-1),"MM")</f>
        <v>01</v>
      </c>
      <c r="J77" s="64">
        <f t="shared" si="38"/>
        <v>2019</v>
      </c>
      <c r="K77" s="23" t="s">
        <v>86</v>
      </c>
      <c r="L77" s="39" t="s">
        <v>82</v>
      </c>
    </row>
    <row r="78" spans="1:12" s="39" customFormat="1" ht="15" customHeight="1" x14ac:dyDescent="0.4">
      <c r="A78" s="23" t="b">
        <f t="shared" ca="1" si="35"/>
        <v>1</v>
      </c>
      <c r="B78" s="37" t="str">
        <f t="array" ref="B78">TEXT(WORKDAY(DATE($B$1,3,15)-1,1,IF('Holiday (Dates to Exclude)'!$D:$D=VLOOKUP($G78,'Holiday (Dates to Exclude)'!$A:$B,2,0),'Holiday (Dates to Exclude)'!$E:$E,)),"MM/DD/YY")</f>
        <v>03/15/19</v>
      </c>
      <c r="C78" s="64" t="str">
        <f t="shared" si="36"/>
        <v>Fri</v>
      </c>
      <c r="D78" s="64" t="str">
        <f t="shared" si="37"/>
        <v>Mar 2019</v>
      </c>
      <c r="E78" s="23" t="s">
        <v>170</v>
      </c>
      <c r="F78" s="23" t="s">
        <v>44</v>
      </c>
      <c r="G78" s="23" t="s">
        <v>146</v>
      </c>
      <c r="H78" s="64" t="str">
        <f t="shared" si="39"/>
        <v>Feb</v>
      </c>
      <c r="I78" s="64" t="str">
        <f t="shared" si="40"/>
        <v>02</v>
      </c>
      <c r="J78" s="64">
        <f t="shared" si="38"/>
        <v>2019</v>
      </c>
      <c r="K78" s="23" t="s">
        <v>86</v>
      </c>
      <c r="L78" s="39" t="s">
        <v>82</v>
      </c>
    </row>
    <row r="79" spans="1:12" s="39" customFormat="1" ht="15" customHeight="1" x14ac:dyDescent="0.4">
      <c r="A79" s="23" t="b">
        <f t="shared" ca="1" si="35"/>
        <v>1</v>
      </c>
      <c r="B79" s="37" t="str">
        <f t="array" ref="B79">TEXT(WORKDAY(DATE($B$1,4,15)-1,1,IF('Holiday (Dates to Exclude)'!$D:$D=VLOOKUP($G79,'Holiday (Dates to Exclude)'!$A:$B,2,0),'Holiday (Dates to Exclude)'!$E:$E,)),"MM/DD/YY")</f>
        <v>04/15/19</v>
      </c>
      <c r="C79" s="64" t="str">
        <f t="shared" si="36"/>
        <v>Mon</v>
      </c>
      <c r="D79" s="64" t="str">
        <f t="shared" si="37"/>
        <v>Apr 2019</v>
      </c>
      <c r="E79" s="23" t="s">
        <v>170</v>
      </c>
      <c r="F79" s="23" t="s">
        <v>44</v>
      </c>
      <c r="G79" s="23" t="s">
        <v>146</v>
      </c>
      <c r="H79" s="64" t="str">
        <f t="shared" si="39"/>
        <v>Mar</v>
      </c>
      <c r="I79" s="64" t="str">
        <f t="shared" si="40"/>
        <v>03</v>
      </c>
      <c r="J79" s="64">
        <f t="shared" si="38"/>
        <v>2019</v>
      </c>
      <c r="K79" s="23" t="s">
        <v>86</v>
      </c>
      <c r="L79" s="39" t="s">
        <v>82</v>
      </c>
    </row>
    <row r="80" spans="1:12" s="39" customFormat="1" ht="15" customHeight="1" x14ac:dyDescent="0.4">
      <c r="A80" s="23" t="b">
        <f t="shared" ca="1" si="35"/>
        <v>1</v>
      </c>
      <c r="B80" s="37" t="str">
        <f t="array" ref="B80">TEXT(WORKDAY(DATE($B$1,5,15)-1,1,IF('Holiday (Dates to Exclude)'!$D:$D=VLOOKUP($G80,'Holiday (Dates to Exclude)'!$A:$B,2,0),'Holiday (Dates to Exclude)'!$E:$E,)),"MM/DD/YY")</f>
        <v>05/15/19</v>
      </c>
      <c r="C80" s="64" t="str">
        <f t="shared" si="36"/>
        <v>Wed</v>
      </c>
      <c r="D80" s="64" t="str">
        <f t="shared" si="37"/>
        <v>May 2019</v>
      </c>
      <c r="E80" s="23" t="s">
        <v>170</v>
      </c>
      <c r="F80" s="23" t="s">
        <v>44</v>
      </c>
      <c r="G80" s="23" t="s">
        <v>146</v>
      </c>
      <c r="H80" s="64" t="str">
        <f t="shared" si="39"/>
        <v>Apr</v>
      </c>
      <c r="I80" s="64" t="str">
        <f t="shared" si="40"/>
        <v>04</v>
      </c>
      <c r="J80" s="64">
        <f t="shared" si="38"/>
        <v>2019</v>
      </c>
      <c r="K80" s="23" t="s">
        <v>86</v>
      </c>
      <c r="L80" s="39" t="s">
        <v>82</v>
      </c>
    </row>
    <row r="81" spans="1:13" s="39" customFormat="1" ht="15" customHeight="1" x14ac:dyDescent="0.4">
      <c r="A81" s="23" t="b">
        <f t="shared" ca="1" si="35"/>
        <v>0</v>
      </c>
      <c r="B81" s="37" t="str">
        <f t="array" ref="B81">TEXT(WORKDAY(DATE($B$1,6,15)-1,1,IF('Holiday (Dates to Exclude)'!$D:$D=VLOOKUP($G81,'Holiday (Dates to Exclude)'!$A:$B,2,0),'Holiday (Dates to Exclude)'!$E:$E,)),"MM/DD/YY")</f>
        <v>06/17/19</v>
      </c>
      <c r="C81" s="64" t="str">
        <f t="shared" si="36"/>
        <v>Mon</v>
      </c>
      <c r="D81" s="64" t="str">
        <f t="shared" si="37"/>
        <v>Jun 2019</v>
      </c>
      <c r="E81" s="23" t="s">
        <v>170</v>
      </c>
      <c r="F81" s="23" t="s">
        <v>44</v>
      </c>
      <c r="G81" s="23" t="s">
        <v>146</v>
      </c>
      <c r="H81" s="64" t="str">
        <f t="shared" si="39"/>
        <v>May</v>
      </c>
      <c r="I81" s="64" t="str">
        <f t="shared" si="40"/>
        <v>05</v>
      </c>
      <c r="J81" s="64">
        <f t="shared" si="38"/>
        <v>2019</v>
      </c>
      <c r="K81" s="23" t="s">
        <v>86</v>
      </c>
      <c r="L81" s="39" t="s">
        <v>82</v>
      </c>
    </row>
    <row r="82" spans="1:13" s="39" customFormat="1" ht="15" customHeight="1" x14ac:dyDescent="0.4">
      <c r="A82" s="23" t="b">
        <f t="shared" ca="1" si="35"/>
        <v>0</v>
      </c>
      <c r="B82" s="37" t="str">
        <f t="array" ref="B82">TEXT(WORKDAY(DATE($B$1,7,15)-1,1,IF('Holiday (Dates to Exclude)'!$D:$D=VLOOKUP($G82,'Holiday (Dates to Exclude)'!$A:$B,2,0),'Holiday (Dates to Exclude)'!$E:$E,)),"MM/DD/YY")</f>
        <v>07/15/19</v>
      </c>
      <c r="C82" s="64" t="str">
        <f t="shared" si="36"/>
        <v>Mon</v>
      </c>
      <c r="D82" s="64" t="str">
        <f t="shared" si="37"/>
        <v>Jul 2019</v>
      </c>
      <c r="E82" s="23" t="s">
        <v>170</v>
      </c>
      <c r="F82" s="23" t="s">
        <v>44</v>
      </c>
      <c r="G82" s="23" t="s">
        <v>146</v>
      </c>
      <c r="H82" s="64" t="str">
        <f t="shared" si="39"/>
        <v>Jun</v>
      </c>
      <c r="I82" s="64" t="str">
        <f t="shared" si="40"/>
        <v>06</v>
      </c>
      <c r="J82" s="64">
        <f t="shared" si="38"/>
        <v>2019</v>
      </c>
      <c r="K82" s="23" t="s">
        <v>86</v>
      </c>
      <c r="L82" s="39" t="s">
        <v>82</v>
      </c>
    </row>
    <row r="83" spans="1:13" s="39" customFormat="1" ht="15" customHeight="1" x14ac:dyDescent="0.4">
      <c r="A83" s="23" t="b">
        <f t="shared" ca="1" si="35"/>
        <v>0</v>
      </c>
      <c r="B83" s="37" t="str">
        <f t="array" ref="B83">TEXT(WORKDAY(DATE($B$1,8,15)-1,1,IF('Holiday (Dates to Exclude)'!$D:$D=VLOOKUP($G83,'Holiday (Dates to Exclude)'!$A:$B,2,0),'Holiday (Dates to Exclude)'!$E:$E,)),"MM/DD/YY")</f>
        <v>08/15/19</v>
      </c>
      <c r="C83" s="64" t="str">
        <f t="shared" si="36"/>
        <v>Thu</v>
      </c>
      <c r="D83" s="64" t="str">
        <f t="shared" si="37"/>
        <v>Aug 2019</v>
      </c>
      <c r="E83" s="23" t="s">
        <v>170</v>
      </c>
      <c r="F83" s="23" t="s">
        <v>44</v>
      </c>
      <c r="G83" s="23" t="s">
        <v>146</v>
      </c>
      <c r="H83" s="64" t="str">
        <f t="shared" si="39"/>
        <v>Jul</v>
      </c>
      <c r="I83" s="64" t="str">
        <f t="shared" si="40"/>
        <v>07</v>
      </c>
      <c r="J83" s="64">
        <f t="shared" si="38"/>
        <v>2019</v>
      </c>
      <c r="K83" s="23" t="s">
        <v>86</v>
      </c>
      <c r="L83" s="39" t="s">
        <v>82</v>
      </c>
    </row>
    <row r="84" spans="1:13" s="39" customFormat="1" ht="15" customHeight="1" x14ac:dyDescent="0.4">
      <c r="A84" s="23" t="b">
        <f t="shared" ca="1" si="35"/>
        <v>0</v>
      </c>
      <c r="B84" s="37" t="str">
        <f t="array" ref="B84">TEXT(WORKDAY(DATE($B$1,9,15)-1,1,IF('Holiday (Dates to Exclude)'!$D:$D=VLOOKUP($G84,'Holiday (Dates to Exclude)'!$A:$B,2,0),'Holiday (Dates to Exclude)'!$E:$E,)),"MM/DD/YY")</f>
        <v>09/16/19</v>
      </c>
      <c r="C84" s="64" t="str">
        <f t="shared" si="36"/>
        <v>Mon</v>
      </c>
      <c r="D84" s="64" t="str">
        <f t="shared" si="37"/>
        <v>Sep 2019</v>
      </c>
      <c r="E84" s="23" t="s">
        <v>170</v>
      </c>
      <c r="F84" s="23" t="s">
        <v>44</v>
      </c>
      <c r="G84" s="23" t="s">
        <v>146</v>
      </c>
      <c r="H84" s="64" t="str">
        <f t="shared" si="39"/>
        <v>Aug</v>
      </c>
      <c r="I84" s="64" t="str">
        <f t="shared" si="40"/>
        <v>08</v>
      </c>
      <c r="J84" s="64">
        <f t="shared" si="38"/>
        <v>2019</v>
      </c>
      <c r="K84" s="23" t="s">
        <v>86</v>
      </c>
      <c r="L84" s="39" t="s">
        <v>82</v>
      </c>
    </row>
    <row r="85" spans="1:13" s="39" customFormat="1" ht="15" customHeight="1" x14ac:dyDescent="0.4">
      <c r="A85" s="23" t="b">
        <f t="shared" ca="1" si="35"/>
        <v>0</v>
      </c>
      <c r="B85" s="37" t="str">
        <f t="array" ref="B85">TEXT(WORKDAY(DATE($B$1,10,15)-1,1,IF('Holiday (Dates to Exclude)'!$D:$D=VLOOKUP($G85,'Holiday (Dates to Exclude)'!$A:$B,2,0),'Holiday (Dates to Exclude)'!$E:$E,)),"MM/DD/YY")</f>
        <v>10/15/19</v>
      </c>
      <c r="C85" s="64" t="str">
        <f t="shared" si="36"/>
        <v>Tue</v>
      </c>
      <c r="D85" s="64" t="str">
        <f t="shared" si="37"/>
        <v>Oct 2019</v>
      </c>
      <c r="E85" s="23" t="s">
        <v>170</v>
      </c>
      <c r="F85" s="23" t="s">
        <v>44</v>
      </c>
      <c r="G85" s="23" t="s">
        <v>146</v>
      </c>
      <c r="H85" s="64" t="str">
        <f t="shared" si="39"/>
        <v>Sep</v>
      </c>
      <c r="I85" s="64" t="str">
        <f t="shared" si="40"/>
        <v>09</v>
      </c>
      <c r="J85" s="64">
        <f t="shared" si="38"/>
        <v>2019</v>
      </c>
      <c r="K85" s="23" t="s">
        <v>86</v>
      </c>
      <c r="L85" s="39" t="s">
        <v>82</v>
      </c>
    </row>
    <row r="86" spans="1:13" s="39" customFormat="1" ht="15" customHeight="1" x14ac:dyDescent="0.4">
      <c r="A86" s="23" t="b">
        <f t="shared" ca="1" si="35"/>
        <v>0</v>
      </c>
      <c r="B86" s="37" t="str">
        <f t="array" ref="B86">TEXT(WORKDAY(DATE($B$1,11,15)-1,1,IF('Holiday (Dates to Exclude)'!$D:$D=VLOOKUP($G86,'Holiday (Dates to Exclude)'!$A:$B,2,0),'Holiday (Dates to Exclude)'!$E:$E,)),"MM/DD/YY")</f>
        <v>11/15/19</v>
      </c>
      <c r="C86" s="64" t="str">
        <f t="shared" si="36"/>
        <v>Fri</v>
      </c>
      <c r="D86" s="64" t="str">
        <f t="shared" si="37"/>
        <v>Nov 2019</v>
      </c>
      <c r="E86" s="23" t="s">
        <v>170</v>
      </c>
      <c r="F86" s="23" t="s">
        <v>44</v>
      </c>
      <c r="G86" s="23" t="s">
        <v>146</v>
      </c>
      <c r="H86" s="64" t="str">
        <f t="shared" si="39"/>
        <v>Oct</v>
      </c>
      <c r="I86" s="64" t="str">
        <f t="shared" si="40"/>
        <v>10</v>
      </c>
      <c r="J86" s="64">
        <f t="shared" si="38"/>
        <v>2019</v>
      </c>
      <c r="K86" s="23" t="s">
        <v>86</v>
      </c>
      <c r="L86" s="39" t="s">
        <v>82</v>
      </c>
    </row>
    <row r="87" spans="1:13" s="39" customFormat="1" ht="15" customHeight="1" x14ac:dyDescent="0.4">
      <c r="A87" s="23" t="b">
        <f t="shared" ca="1" si="35"/>
        <v>0</v>
      </c>
      <c r="B87" s="37" t="str">
        <f t="array" ref="B87">TEXT(WORKDAY(DATE($B$1,12,15)-1,1,IF('Holiday (Dates to Exclude)'!$D:$D=VLOOKUP($G87,'Holiday (Dates to Exclude)'!$A:$B,2,0),'Holiday (Dates to Exclude)'!$E:$E,)),"MM/DD/YY")</f>
        <v>12/16/19</v>
      </c>
      <c r="C87" s="64" t="str">
        <f t="shared" si="36"/>
        <v>Mon</v>
      </c>
      <c r="D87" s="64" t="str">
        <f t="shared" si="37"/>
        <v>Dec 2019</v>
      </c>
      <c r="E87" s="23" t="s">
        <v>170</v>
      </c>
      <c r="F87" s="23" t="s">
        <v>44</v>
      </c>
      <c r="G87" s="23" t="s">
        <v>146</v>
      </c>
      <c r="H87" s="64" t="str">
        <f t="shared" si="39"/>
        <v>Nov</v>
      </c>
      <c r="I87" s="64" t="str">
        <f t="shared" si="40"/>
        <v>11</v>
      </c>
      <c r="J87" s="64">
        <f t="shared" si="38"/>
        <v>2019</v>
      </c>
      <c r="K87" s="23" t="s">
        <v>86</v>
      </c>
      <c r="L87" s="39" t="s">
        <v>82</v>
      </c>
    </row>
    <row r="88" spans="1:13" s="39" customFormat="1" ht="15" customHeight="1" x14ac:dyDescent="0.4">
      <c r="A88" s="23" t="b">
        <f t="shared" ca="1" si="35"/>
        <v>1</v>
      </c>
      <c r="B88" s="37" t="str">
        <f>TEXT(WORKDAY(DATE($B$1,1,16)-1,1,IF('Holiday (Dates to Exclude)'!$D:$D=VLOOKUP($G88,'Holiday (Dates to Exclude)'!$A:$B,2,0),'Holiday (Dates to Exclude)'!$E:$E,)),"MM/DD/YY")</f>
        <v>01/16/19</v>
      </c>
      <c r="C88" s="64" t="str">
        <f t="shared" ref="C88:C99" si="41">TEXT($B88,"DDD")</f>
        <v>Wed</v>
      </c>
      <c r="D88" s="64" t="str">
        <f t="shared" ref="D88:D99" si="42">TEXT(B88,"MMM YYYY")</f>
        <v>Jan 2019</v>
      </c>
      <c r="E88" s="67" t="s">
        <v>174</v>
      </c>
      <c r="F88" s="67" t="s">
        <v>44</v>
      </c>
      <c r="G88" s="23" t="s">
        <v>158</v>
      </c>
      <c r="H88" s="64" t="str">
        <f>TEXT(EDATE($B88,-1),"MMM")</f>
        <v>Dec</v>
      </c>
      <c r="I88" s="64" t="str">
        <f>TEXT(EOMONTH($B88,-1),"MM")</f>
        <v>12</v>
      </c>
      <c r="J88" s="64">
        <f t="shared" ref="J88:J99" si="43">YEAR(B88)</f>
        <v>2019</v>
      </c>
      <c r="K88" s="23" t="s">
        <v>47</v>
      </c>
      <c r="L88" s="39" t="s">
        <v>82</v>
      </c>
    </row>
    <row r="89" spans="1:13" s="39" customFormat="1" ht="15" customHeight="1" x14ac:dyDescent="0.4">
      <c r="A89" s="23" t="b">
        <f t="shared" ca="1" si="35"/>
        <v>1</v>
      </c>
      <c r="B89" s="37" t="str">
        <f t="array" ref="B89">TEXT(WORKDAY(DATE($B$1,2,16)-1,1,IF('Holiday (Dates to Exclude)'!$D:$D=VLOOKUP($G89,'Holiday (Dates to Exclude)'!$A:$B,2,0),'Holiday (Dates to Exclude)'!$E:$E,)),"MM/DD/YY")</f>
        <v>02/18/19</v>
      </c>
      <c r="C89" s="64" t="str">
        <f t="shared" si="41"/>
        <v>Mon</v>
      </c>
      <c r="D89" s="64" t="str">
        <f t="shared" si="42"/>
        <v>Feb 2019</v>
      </c>
      <c r="E89" s="67" t="s">
        <v>174</v>
      </c>
      <c r="F89" s="67" t="s">
        <v>44</v>
      </c>
      <c r="G89" s="23" t="s">
        <v>158</v>
      </c>
      <c r="H89" s="64" t="str">
        <f t="shared" ref="H89:H99" si="44">TEXT(EDATE($B89,-1),"MMM")</f>
        <v>Jan</v>
      </c>
      <c r="I89" s="64" t="str">
        <f t="shared" ref="I89:I99" si="45">TEXT(EOMONTH($B89,-1),"MM")</f>
        <v>01</v>
      </c>
      <c r="J89" s="64">
        <f t="shared" si="43"/>
        <v>2019</v>
      </c>
      <c r="K89" s="23" t="s">
        <v>47</v>
      </c>
      <c r="L89" s="39" t="s">
        <v>82</v>
      </c>
    </row>
    <row r="90" spans="1:13" s="39" customFormat="1" ht="15" customHeight="1" x14ac:dyDescent="0.4">
      <c r="A90" s="23" t="b">
        <f t="shared" ca="1" si="35"/>
        <v>1</v>
      </c>
      <c r="B90" s="37" t="str">
        <f t="array" ref="B90">TEXT(WORKDAY(DATE($B$1,3,16)-1,1,IF('Holiday (Dates to Exclude)'!$D:$D=VLOOKUP($G90,'Holiday (Dates to Exclude)'!$A:$B,2,0),'Holiday (Dates to Exclude)'!$E:$E,)),"MM/DD/YY")</f>
        <v>03/18/19</v>
      </c>
      <c r="C90" s="64" t="str">
        <f t="shared" si="41"/>
        <v>Mon</v>
      </c>
      <c r="D90" s="64" t="str">
        <f t="shared" si="42"/>
        <v>Mar 2019</v>
      </c>
      <c r="E90" s="67" t="s">
        <v>174</v>
      </c>
      <c r="F90" s="67" t="s">
        <v>44</v>
      </c>
      <c r="G90" s="23" t="s">
        <v>158</v>
      </c>
      <c r="H90" s="64" t="str">
        <f t="shared" si="44"/>
        <v>Feb</v>
      </c>
      <c r="I90" s="64" t="str">
        <f t="shared" si="45"/>
        <v>02</v>
      </c>
      <c r="J90" s="64">
        <f t="shared" si="43"/>
        <v>2019</v>
      </c>
      <c r="K90" s="23" t="s">
        <v>47</v>
      </c>
      <c r="L90" s="39" t="s">
        <v>82</v>
      </c>
    </row>
    <row r="91" spans="1:13" s="39" customFormat="1" ht="15" customHeight="1" x14ac:dyDescent="0.4">
      <c r="A91" s="23" t="b">
        <f t="shared" ca="1" si="35"/>
        <v>1</v>
      </c>
      <c r="B91" s="37" t="str">
        <f t="array" ref="B91">TEXT(WORKDAY(DATE($B$1,4,16)-1,1,IF('Holiday (Dates to Exclude)'!$D:$D=VLOOKUP($G91,'Holiday (Dates to Exclude)'!$A:$B,2,0),'Holiday (Dates to Exclude)'!$E:$E,)),"MM/DD/YY")</f>
        <v>04/16/19</v>
      </c>
      <c r="C91" s="64" t="str">
        <f t="shared" si="41"/>
        <v>Tue</v>
      </c>
      <c r="D91" s="64" t="str">
        <f t="shared" si="42"/>
        <v>Apr 2019</v>
      </c>
      <c r="E91" s="67" t="s">
        <v>174</v>
      </c>
      <c r="F91" s="67" t="s">
        <v>44</v>
      </c>
      <c r="G91" s="23" t="s">
        <v>158</v>
      </c>
      <c r="H91" s="64" t="str">
        <f t="shared" si="44"/>
        <v>Mar</v>
      </c>
      <c r="I91" s="64" t="str">
        <f t="shared" si="45"/>
        <v>03</v>
      </c>
      <c r="J91" s="64">
        <f t="shared" si="43"/>
        <v>2019</v>
      </c>
      <c r="K91" s="23" t="s">
        <v>47</v>
      </c>
      <c r="L91" s="39" t="s">
        <v>82</v>
      </c>
      <c r="M91" s="39" t="s">
        <v>102</v>
      </c>
    </row>
    <row r="92" spans="1:13" s="39" customFormat="1" ht="15" customHeight="1" x14ac:dyDescent="0.4">
      <c r="A92" s="23" t="b">
        <f t="shared" ca="1" si="35"/>
        <v>1</v>
      </c>
      <c r="B92" s="37" t="str">
        <f t="array" ref="B92">TEXT(WORKDAY(DATE($B$1,5,16)-1,1,IF('Holiday (Dates to Exclude)'!$D:$D=VLOOKUP($G92,'Holiday (Dates to Exclude)'!$A:$B,2,0),'Holiday (Dates to Exclude)'!$E:$E,)),"MM/DD/YY")</f>
        <v>05/16/19</v>
      </c>
      <c r="C92" s="64" t="str">
        <f t="shared" si="41"/>
        <v>Thu</v>
      </c>
      <c r="D92" s="64" t="str">
        <f t="shared" si="42"/>
        <v>May 2019</v>
      </c>
      <c r="E92" s="67" t="s">
        <v>174</v>
      </c>
      <c r="F92" s="67" t="s">
        <v>44</v>
      </c>
      <c r="G92" s="23" t="s">
        <v>158</v>
      </c>
      <c r="H92" s="64" t="str">
        <f t="shared" si="44"/>
        <v>Apr</v>
      </c>
      <c r="I92" s="64" t="str">
        <f t="shared" si="45"/>
        <v>04</v>
      </c>
      <c r="J92" s="64">
        <f t="shared" si="43"/>
        <v>2019</v>
      </c>
      <c r="K92" s="23" t="s">
        <v>47</v>
      </c>
      <c r="L92" s="39" t="s">
        <v>82</v>
      </c>
    </row>
    <row r="93" spans="1:13" s="39" customFormat="1" ht="15" customHeight="1" x14ac:dyDescent="0.4">
      <c r="A93" s="23" t="b">
        <f t="shared" ca="1" si="35"/>
        <v>0</v>
      </c>
      <c r="B93" s="37" t="str">
        <f t="array" ref="B93">TEXT(WORKDAY(DATE($B$1,6,16)-1,1,IF('Holiday (Dates to Exclude)'!$D:$D=VLOOKUP($G93,'Holiday (Dates to Exclude)'!$A:$B,2,0),'Holiday (Dates to Exclude)'!$E:$E,)),"MM/DD/YY")</f>
        <v>06/17/19</v>
      </c>
      <c r="C93" s="64" t="str">
        <f t="shared" si="41"/>
        <v>Mon</v>
      </c>
      <c r="D93" s="64" t="str">
        <f t="shared" si="42"/>
        <v>Jun 2019</v>
      </c>
      <c r="E93" s="67" t="s">
        <v>174</v>
      </c>
      <c r="F93" s="67" t="s">
        <v>44</v>
      </c>
      <c r="G93" s="23" t="s">
        <v>158</v>
      </c>
      <c r="H93" s="64" t="str">
        <f t="shared" si="44"/>
        <v>May</v>
      </c>
      <c r="I93" s="64" t="str">
        <f t="shared" si="45"/>
        <v>05</v>
      </c>
      <c r="J93" s="64">
        <f t="shared" si="43"/>
        <v>2019</v>
      </c>
      <c r="K93" s="23" t="s">
        <v>47</v>
      </c>
      <c r="L93" s="39" t="s">
        <v>82</v>
      </c>
    </row>
    <row r="94" spans="1:13" s="39" customFormat="1" ht="15" customHeight="1" x14ac:dyDescent="0.4">
      <c r="A94" s="23" t="b">
        <f t="shared" ca="1" si="35"/>
        <v>0</v>
      </c>
      <c r="B94" s="37" t="str">
        <f t="array" ref="B94">TEXT(WORKDAY(DATE($B$1,7,16)-1,1,IF('Holiday (Dates to Exclude)'!$D:$D=VLOOKUP($G94,'Holiday (Dates to Exclude)'!$A:$B,2,0),'Holiday (Dates to Exclude)'!$E:$E,)),"MM/DD/YY")</f>
        <v>07/16/19</v>
      </c>
      <c r="C94" s="64" t="str">
        <f t="shared" si="41"/>
        <v>Tue</v>
      </c>
      <c r="D94" s="64" t="str">
        <f t="shared" si="42"/>
        <v>Jul 2019</v>
      </c>
      <c r="E94" s="67" t="s">
        <v>174</v>
      </c>
      <c r="F94" s="67" t="s">
        <v>44</v>
      </c>
      <c r="G94" s="23" t="s">
        <v>158</v>
      </c>
      <c r="H94" s="64" t="str">
        <f t="shared" si="44"/>
        <v>Jun</v>
      </c>
      <c r="I94" s="64" t="str">
        <f t="shared" si="45"/>
        <v>06</v>
      </c>
      <c r="J94" s="64">
        <f t="shared" si="43"/>
        <v>2019</v>
      </c>
      <c r="K94" s="23" t="s">
        <v>47</v>
      </c>
      <c r="L94" s="39" t="s">
        <v>82</v>
      </c>
    </row>
    <row r="95" spans="1:13" s="39" customFormat="1" ht="15" customHeight="1" x14ac:dyDescent="0.4">
      <c r="A95" s="23" t="b">
        <f t="shared" ca="1" si="35"/>
        <v>0</v>
      </c>
      <c r="B95" s="37" t="str">
        <f t="array" ref="B95">TEXT(WORKDAY(DATE($B$1,8,16)-1,1,IF('Holiday (Dates to Exclude)'!$D:$D=VLOOKUP($G95,'Holiday (Dates to Exclude)'!$A:$B,2,0),'Holiday (Dates to Exclude)'!$E:$E,)),"MM/DD/YY")</f>
        <v>08/16/19</v>
      </c>
      <c r="C95" s="64" t="str">
        <f t="shared" si="41"/>
        <v>Fri</v>
      </c>
      <c r="D95" s="64" t="str">
        <f t="shared" si="42"/>
        <v>Aug 2019</v>
      </c>
      <c r="E95" s="67" t="s">
        <v>174</v>
      </c>
      <c r="F95" s="67" t="s">
        <v>44</v>
      </c>
      <c r="G95" s="23" t="s">
        <v>158</v>
      </c>
      <c r="H95" s="64" t="str">
        <f t="shared" si="44"/>
        <v>Jul</v>
      </c>
      <c r="I95" s="64" t="str">
        <f t="shared" si="45"/>
        <v>07</v>
      </c>
      <c r="J95" s="64">
        <f t="shared" si="43"/>
        <v>2019</v>
      </c>
      <c r="K95" s="23" t="s">
        <v>47</v>
      </c>
      <c r="L95" s="39" t="s">
        <v>82</v>
      </c>
    </row>
    <row r="96" spans="1:13" s="39" customFormat="1" ht="15" customHeight="1" x14ac:dyDescent="0.4">
      <c r="A96" s="23" t="b">
        <f t="shared" ca="1" si="35"/>
        <v>0</v>
      </c>
      <c r="B96" s="37" t="str">
        <f t="array" ref="B96">TEXT(WORKDAY(DATE($B$1,9,16)-1,1,IF('Holiday (Dates to Exclude)'!$D:$D=VLOOKUP($G96,'Holiday (Dates to Exclude)'!$A:$B,2,0),'Holiday (Dates to Exclude)'!$E:$E,)),"MM/DD/YY")</f>
        <v>09/16/19</v>
      </c>
      <c r="C96" s="64" t="str">
        <f t="shared" si="41"/>
        <v>Mon</v>
      </c>
      <c r="D96" s="64" t="str">
        <f t="shared" si="42"/>
        <v>Sep 2019</v>
      </c>
      <c r="E96" s="67" t="s">
        <v>174</v>
      </c>
      <c r="F96" s="67" t="s">
        <v>44</v>
      </c>
      <c r="G96" s="23" t="s">
        <v>158</v>
      </c>
      <c r="H96" s="64" t="str">
        <f t="shared" si="44"/>
        <v>Aug</v>
      </c>
      <c r="I96" s="64" t="str">
        <f t="shared" si="45"/>
        <v>08</v>
      </c>
      <c r="J96" s="64">
        <f t="shared" si="43"/>
        <v>2019</v>
      </c>
      <c r="K96" s="23" t="s">
        <v>47</v>
      </c>
      <c r="L96" s="39" t="s">
        <v>82</v>
      </c>
    </row>
    <row r="97" spans="1:13" s="39" customFormat="1" ht="15" customHeight="1" x14ac:dyDescent="0.4">
      <c r="A97" s="23" t="b">
        <f t="shared" ca="1" si="35"/>
        <v>0</v>
      </c>
      <c r="B97" s="37" t="str">
        <f t="array" ref="B97">TEXT(WORKDAY(DATE($B$1,10,16)-1,1,IF('Holiday (Dates to Exclude)'!$D:$D=VLOOKUP($G97,'Holiday (Dates to Exclude)'!$A:$B,2,0),'Holiday (Dates to Exclude)'!$E:$E,)),"MM/DD/YY")</f>
        <v>10/16/19</v>
      </c>
      <c r="C97" s="64" t="str">
        <f t="shared" si="41"/>
        <v>Wed</v>
      </c>
      <c r="D97" s="64" t="str">
        <f t="shared" si="42"/>
        <v>Oct 2019</v>
      </c>
      <c r="E97" s="67" t="s">
        <v>174</v>
      </c>
      <c r="F97" s="67" t="s">
        <v>44</v>
      </c>
      <c r="G97" s="23" t="s">
        <v>158</v>
      </c>
      <c r="H97" s="64" t="str">
        <f t="shared" si="44"/>
        <v>Sep</v>
      </c>
      <c r="I97" s="64" t="str">
        <f t="shared" si="45"/>
        <v>09</v>
      </c>
      <c r="J97" s="64">
        <f t="shared" si="43"/>
        <v>2019</v>
      </c>
      <c r="K97" s="23" t="s">
        <v>47</v>
      </c>
      <c r="L97" s="39" t="s">
        <v>82</v>
      </c>
    </row>
    <row r="98" spans="1:13" s="39" customFormat="1" ht="15" customHeight="1" x14ac:dyDescent="0.4">
      <c r="A98" s="23" t="b">
        <f t="shared" ca="1" si="35"/>
        <v>0</v>
      </c>
      <c r="B98" s="37" t="str">
        <f t="array" ref="B98">TEXT(WORKDAY(DATE($B$1,11,16)-1,1,IF('Holiday (Dates to Exclude)'!$D:$D=VLOOKUP($G98,'Holiday (Dates to Exclude)'!$A:$B,2,0),'Holiday (Dates to Exclude)'!$E:$E,)),"MM/DD/YY")</f>
        <v>11/18/19</v>
      </c>
      <c r="C98" s="64" t="str">
        <f t="shared" si="41"/>
        <v>Mon</v>
      </c>
      <c r="D98" s="64" t="str">
        <f t="shared" si="42"/>
        <v>Nov 2019</v>
      </c>
      <c r="E98" s="67" t="s">
        <v>174</v>
      </c>
      <c r="F98" s="67" t="s">
        <v>44</v>
      </c>
      <c r="G98" s="23" t="s">
        <v>158</v>
      </c>
      <c r="H98" s="64" t="str">
        <f t="shared" si="44"/>
        <v>Oct</v>
      </c>
      <c r="I98" s="64" t="str">
        <f t="shared" si="45"/>
        <v>10</v>
      </c>
      <c r="J98" s="64">
        <f t="shared" si="43"/>
        <v>2019</v>
      </c>
      <c r="K98" s="23" t="s">
        <v>47</v>
      </c>
      <c r="L98" s="39" t="s">
        <v>82</v>
      </c>
    </row>
    <row r="99" spans="1:13" s="39" customFormat="1" ht="15" customHeight="1" x14ac:dyDescent="0.4">
      <c r="A99" s="23" t="b">
        <f t="shared" ca="1" si="35"/>
        <v>0</v>
      </c>
      <c r="B99" s="37" t="str">
        <f t="array" ref="B99">TEXT(WORKDAY(DATE($B$1,12,16)-1,1,IF('Holiday (Dates to Exclude)'!$D:$D=VLOOKUP($G99,'Holiday (Dates to Exclude)'!$A:$B,2,0),'Holiday (Dates to Exclude)'!$E:$E,)),"MM/DD/YY")</f>
        <v>12/16/19</v>
      </c>
      <c r="C99" s="64" t="str">
        <f t="shared" si="41"/>
        <v>Mon</v>
      </c>
      <c r="D99" s="64" t="str">
        <f t="shared" si="42"/>
        <v>Dec 2019</v>
      </c>
      <c r="E99" s="67" t="s">
        <v>174</v>
      </c>
      <c r="F99" s="67" t="s">
        <v>44</v>
      </c>
      <c r="G99" s="23" t="s">
        <v>158</v>
      </c>
      <c r="H99" s="64" t="str">
        <f t="shared" si="44"/>
        <v>Nov</v>
      </c>
      <c r="I99" s="64" t="str">
        <f t="shared" si="45"/>
        <v>11</v>
      </c>
      <c r="J99" s="64">
        <f t="shared" si="43"/>
        <v>2019</v>
      </c>
      <c r="K99" s="23" t="s">
        <v>47</v>
      </c>
      <c r="L99" s="39" t="s">
        <v>82</v>
      </c>
    </row>
    <row r="100" spans="1:13" s="39" customFormat="1" ht="15" customHeight="1" x14ac:dyDescent="0.4">
      <c r="A100" s="23" t="b">
        <f t="shared" ca="1" si="35"/>
        <v>1</v>
      </c>
      <c r="B100" s="37" t="str">
        <f>TEXT(WORKDAY(DATE($B$1,1,18)-1,1,IF('Holiday (Dates to Exclude)'!$D:$D=VLOOKUP($G100,'Holiday (Dates to Exclude)'!$A:$B,2,0),'Holiday (Dates to Exclude)'!$E:$E,)),"MM/DD/YY")</f>
        <v>01/18/19</v>
      </c>
      <c r="C100" s="64" t="str">
        <f t="shared" ref="C100:C111" si="46">TEXT($B100,"DDD")</f>
        <v>Fri</v>
      </c>
      <c r="D100" s="64" t="str">
        <f t="shared" ref="D100:D111" si="47">TEXT(B100,"MMM YYYY")</f>
        <v>Jan 2019</v>
      </c>
      <c r="E100" s="23" t="s">
        <v>174</v>
      </c>
      <c r="F100" s="23" t="s">
        <v>44</v>
      </c>
      <c r="G100" s="23" t="s">
        <v>146</v>
      </c>
      <c r="H100" s="64" t="str">
        <f>TEXT(EDATE($B100,-1),"MMM")</f>
        <v>Dec</v>
      </c>
      <c r="I100" s="64" t="str">
        <f>TEXT(EOMONTH($B100,-1),"MM")</f>
        <v>12</v>
      </c>
      <c r="J100" s="64">
        <f t="shared" ref="J100:J111" si="48">YEAR(B100)</f>
        <v>2019</v>
      </c>
      <c r="K100" s="23" t="s">
        <v>48</v>
      </c>
      <c r="L100" s="39" t="s">
        <v>82</v>
      </c>
    </row>
    <row r="101" spans="1:13" s="39" customFormat="1" ht="15" customHeight="1" x14ac:dyDescent="0.4">
      <c r="A101" s="23" t="b">
        <f t="shared" ca="1" si="35"/>
        <v>1</v>
      </c>
      <c r="B101" s="37" t="str">
        <f t="array" ref="B101">TEXT(WORKDAY(DATE($B$1,2,18)-1,1,IF('Holiday (Dates to Exclude)'!$D:$D=VLOOKUP($G101,'Holiday (Dates to Exclude)'!$A:$B,2,0),'Holiday (Dates to Exclude)'!$E:$E,)),"MM/DD/YY")</f>
        <v>02/18/19</v>
      </c>
      <c r="C101" s="64" t="str">
        <f t="shared" si="46"/>
        <v>Mon</v>
      </c>
      <c r="D101" s="64" t="str">
        <f t="shared" si="47"/>
        <v>Feb 2019</v>
      </c>
      <c r="E101" s="23" t="s">
        <v>174</v>
      </c>
      <c r="F101" s="23" t="s">
        <v>44</v>
      </c>
      <c r="G101" s="23" t="s">
        <v>146</v>
      </c>
      <c r="H101" s="64" t="str">
        <f t="shared" ref="H101:H111" si="49">TEXT(EDATE($B101,-1),"MMM")</f>
        <v>Jan</v>
      </c>
      <c r="I101" s="64" t="str">
        <f t="shared" ref="I101:I111" si="50">TEXT(EOMONTH($B101,-1),"MM")</f>
        <v>01</v>
      </c>
      <c r="J101" s="64">
        <f t="shared" si="48"/>
        <v>2019</v>
      </c>
      <c r="K101" s="23" t="s">
        <v>48</v>
      </c>
      <c r="L101" s="39" t="s">
        <v>82</v>
      </c>
      <c r="M101" s="39" t="s">
        <v>103</v>
      </c>
    </row>
    <row r="102" spans="1:13" s="39" customFormat="1" ht="15" customHeight="1" x14ac:dyDescent="0.4">
      <c r="A102" s="23" t="b">
        <f t="shared" ca="1" si="35"/>
        <v>1</v>
      </c>
      <c r="B102" s="37" t="str">
        <f t="array" ref="B102">TEXT(WORKDAY(DATE($B$1,3,18)-1,1,IF('Holiday (Dates to Exclude)'!$D:$D=VLOOKUP($G102,'Holiday (Dates to Exclude)'!$A:$B,2,0),'Holiday (Dates to Exclude)'!$E:$E,)),"MM/DD/YY")</f>
        <v>03/18/19</v>
      </c>
      <c r="C102" s="64" t="str">
        <f t="shared" si="46"/>
        <v>Mon</v>
      </c>
      <c r="D102" s="64" t="str">
        <f t="shared" si="47"/>
        <v>Mar 2019</v>
      </c>
      <c r="E102" s="23" t="s">
        <v>174</v>
      </c>
      <c r="F102" s="23" t="s">
        <v>44</v>
      </c>
      <c r="G102" s="23" t="s">
        <v>146</v>
      </c>
      <c r="H102" s="64" t="str">
        <f t="shared" si="49"/>
        <v>Feb</v>
      </c>
      <c r="I102" s="64" t="str">
        <f t="shared" si="50"/>
        <v>02</v>
      </c>
      <c r="J102" s="64">
        <f t="shared" si="48"/>
        <v>2019</v>
      </c>
      <c r="K102" s="23" t="s">
        <v>48</v>
      </c>
      <c r="L102" s="39" t="s">
        <v>82</v>
      </c>
    </row>
    <row r="103" spans="1:13" s="39" customFormat="1" ht="15" customHeight="1" x14ac:dyDescent="0.4">
      <c r="A103" s="23" t="b">
        <f t="shared" ca="1" si="35"/>
        <v>1</v>
      </c>
      <c r="B103" s="37" t="str">
        <f t="array" ref="B103">TEXT(WORKDAY(DATE($B$1,4,18)-1,1,IF('Holiday (Dates to Exclude)'!$D:$D=VLOOKUP($G103,'Holiday (Dates to Exclude)'!$A:$B,2,0),'Holiday (Dates to Exclude)'!$E:$E,)),"MM/DD/YY")</f>
        <v>04/18/19</v>
      </c>
      <c r="C103" s="64" t="str">
        <f t="shared" si="46"/>
        <v>Thu</v>
      </c>
      <c r="D103" s="64" t="str">
        <f t="shared" si="47"/>
        <v>Apr 2019</v>
      </c>
      <c r="E103" s="23" t="s">
        <v>174</v>
      </c>
      <c r="F103" s="23" t="s">
        <v>44</v>
      </c>
      <c r="G103" s="23" t="s">
        <v>146</v>
      </c>
      <c r="H103" s="64" t="str">
        <f t="shared" si="49"/>
        <v>Mar</v>
      </c>
      <c r="I103" s="64" t="str">
        <f t="shared" si="50"/>
        <v>03</v>
      </c>
      <c r="J103" s="64">
        <f t="shared" si="48"/>
        <v>2019</v>
      </c>
      <c r="K103" s="23" t="s">
        <v>48</v>
      </c>
      <c r="L103" s="39" t="s">
        <v>82</v>
      </c>
    </row>
    <row r="104" spans="1:13" s="39" customFormat="1" ht="15" customHeight="1" x14ac:dyDescent="0.4">
      <c r="A104" s="23" t="b">
        <f t="shared" ca="1" si="35"/>
        <v>1</v>
      </c>
      <c r="B104" s="37" t="str">
        <f t="array" ref="B104">TEXT(WORKDAY(DATE($B$1,5,18)-1,1,IF('Holiday (Dates to Exclude)'!$D:$D=VLOOKUP($G104,'Holiday (Dates to Exclude)'!$A:$B,2,0),'Holiday (Dates to Exclude)'!$E:$E,)),"MM/DD/YY")</f>
        <v>05/20/19</v>
      </c>
      <c r="C104" s="64" t="str">
        <f t="shared" si="46"/>
        <v>Mon</v>
      </c>
      <c r="D104" s="64" t="str">
        <f t="shared" si="47"/>
        <v>May 2019</v>
      </c>
      <c r="E104" s="23" t="s">
        <v>174</v>
      </c>
      <c r="F104" s="23" t="s">
        <v>44</v>
      </c>
      <c r="G104" s="23" t="s">
        <v>146</v>
      </c>
      <c r="H104" s="64" t="str">
        <f t="shared" si="49"/>
        <v>Apr</v>
      </c>
      <c r="I104" s="64" t="str">
        <f t="shared" si="50"/>
        <v>04</v>
      </c>
      <c r="J104" s="64">
        <f t="shared" si="48"/>
        <v>2019</v>
      </c>
      <c r="K104" s="23" t="s">
        <v>48</v>
      </c>
      <c r="L104" s="39" t="s">
        <v>82</v>
      </c>
    </row>
    <row r="105" spans="1:13" s="39" customFormat="1" ht="15" customHeight="1" x14ac:dyDescent="0.4">
      <c r="A105" s="23" t="b">
        <f t="shared" ca="1" si="35"/>
        <v>0</v>
      </c>
      <c r="B105" s="37" t="str">
        <f t="array" ref="B105">TEXT(WORKDAY(DATE($B$1,6,18)-1,1,IF('Holiday (Dates to Exclude)'!$D:$D=VLOOKUP($G105,'Holiday (Dates to Exclude)'!$A:$B,2,0),'Holiday (Dates to Exclude)'!$E:$E,)),"MM/DD/YY")</f>
        <v>06/18/19</v>
      </c>
      <c r="C105" s="64" t="str">
        <f t="shared" si="46"/>
        <v>Tue</v>
      </c>
      <c r="D105" s="64" t="str">
        <f t="shared" si="47"/>
        <v>Jun 2019</v>
      </c>
      <c r="E105" s="23" t="s">
        <v>174</v>
      </c>
      <c r="F105" s="23" t="s">
        <v>44</v>
      </c>
      <c r="G105" s="23" t="s">
        <v>146</v>
      </c>
      <c r="H105" s="64" t="str">
        <f t="shared" si="49"/>
        <v>May</v>
      </c>
      <c r="I105" s="64" t="str">
        <f t="shared" si="50"/>
        <v>05</v>
      </c>
      <c r="J105" s="64">
        <f t="shared" si="48"/>
        <v>2019</v>
      </c>
      <c r="K105" s="23" t="s">
        <v>48</v>
      </c>
      <c r="L105" s="39" t="s">
        <v>82</v>
      </c>
    </row>
    <row r="106" spans="1:13" s="39" customFormat="1" ht="15" customHeight="1" x14ac:dyDescent="0.4">
      <c r="A106" s="23" t="b">
        <f t="shared" ca="1" si="35"/>
        <v>0</v>
      </c>
      <c r="B106" s="37" t="str">
        <f t="array" ref="B106">TEXT(WORKDAY(DATE($B$1,7,18)-1,1,IF('Holiday (Dates to Exclude)'!$D:$D=VLOOKUP($G106,'Holiday (Dates to Exclude)'!$A:$B,2,0),'Holiday (Dates to Exclude)'!$E:$E,)),"MM/DD/YY")</f>
        <v>07/18/19</v>
      </c>
      <c r="C106" s="64" t="str">
        <f t="shared" si="46"/>
        <v>Thu</v>
      </c>
      <c r="D106" s="64" t="str">
        <f t="shared" si="47"/>
        <v>Jul 2019</v>
      </c>
      <c r="E106" s="23" t="s">
        <v>174</v>
      </c>
      <c r="F106" s="23" t="s">
        <v>44</v>
      </c>
      <c r="G106" s="23" t="s">
        <v>146</v>
      </c>
      <c r="H106" s="64" t="str">
        <f t="shared" si="49"/>
        <v>Jun</v>
      </c>
      <c r="I106" s="64" t="str">
        <f t="shared" si="50"/>
        <v>06</v>
      </c>
      <c r="J106" s="64">
        <f t="shared" si="48"/>
        <v>2019</v>
      </c>
      <c r="K106" s="23" t="s">
        <v>48</v>
      </c>
      <c r="L106" s="39" t="s">
        <v>82</v>
      </c>
      <c r="M106" s="34" t="s">
        <v>92</v>
      </c>
    </row>
    <row r="107" spans="1:13" s="39" customFormat="1" ht="15" customHeight="1" x14ac:dyDescent="0.4">
      <c r="A107" s="23" t="b">
        <f t="shared" ca="1" si="35"/>
        <v>0</v>
      </c>
      <c r="B107" s="37" t="str">
        <f t="array" ref="B107">TEXT(WORKDAY(DATE($B$1,8,18)-1,1,IF('Holiday (Dates to Exclude)'!$D:$D=VLOOKUP($G107,'Holiday (Dates to Exclude)'!$A:$B,2,0),'Holiday (Dates to Exclude)'!$E:$E,)),"MM/DD/YY")</f>
        <v>08/19/19</v>
      </c>
      <c r="C107" s="64" t="str">
        <f t="shared" si="46"/>
        <v>Mon</v>
      </c>
      <c r="D107" s="64" t="str">
        <f t="shared" si="47"/>
        <v>Aug 2019</v>
      </c>
      <c r="E107" s="23" t="s">
        <v>174</v>
      </c>
      <c r="F107" s="23" t="s">
        <v>44</v>
      </c>
      <c r="G107" s="23" t="s">
        <v>146</v>
      </c>
      <c r="H107" s="64" t="str">
        <f t="shared" si="49"/>
        <v>Jul</v>
      </c>
      <c r="I107" s="64" t="str">
        <f t="shared" si="50"/>
        <v>07</v>
      </c>
      <c r="J107" s="64">
        <f t="shared" si="48"/>
        <v>2019</v>
      </c>
      <c r="K107" s="23" t="s">
        <v>48</v>
      </c>
      <c r="L107" s="39" t="s">
        <v>82</v>
      </c>
    </row>
    <row r="108" spans="1:13" s="39" customFormat="1" ht="15" customHeight="1" x14ac:dyDescent="0.4">
      <c r="A108" s="23" t="b">
        <f t="shared" ca="1" si="35"/>
        <v>0</v>
      </c>
      <c r="B108" s="37" t="str">
        <f t="array" ref="B108">TEXT(WORKDAY(DATE($B$1,9,18)-1,1,IF('Holiday (Dates to Exclude)'!$D:$D=VLOOKUP($G108,'Holiday (Dates to Exclude)'!$A:$B,2,0),'Holiday (Dates to Exclude)'!$E:$E,)),"MM/DD/YY")</f>
        <v>09/18/19</v>
      </c>
      <c r="C108" s="64" t="str">
        <f t="shared" si="46"/>
        <v>Wed</v>
      </c>
      <c r="D108" s="64" t="str">
        <f t="shared" si="47"/>
        <v>Sep 2019</v>
      </c>
      <c r="E108" s="23" t="s">
        <v>174</v>
      </c>
      <c r="F108" s="23" t="s">
        <v>44</v>
      </c>
      <c r="G108" s="23" t="s">
        <v>146</v>
      </c>
      <c r="H108" s="64" t="str">
        <f t="shared" si="49"/>
        <v>Aug</v>
      </c>
      <c r="I108" s="64" t="str">
        <f t="shared" si="50"/>
        <v>08</v>
      </c>
      <c r="J108" s="64">
        <f t="shared" si="48"/>
        <v>2019</v>
      </c>
      <c r="K108" s="23" t="s">
        <v>48</v>
      </c>
      <c r="L108" s="39" t="s">
        <v>82</v>
      </c>
    </row>
    <row r="109" spans="1:13" s="39" customFormat="1" ht="15" customHeight="1" x14ac:dyDescent="0.4">
      <c r="A109" s="23" t="b">
        <f t="shared" ca="1" si="35"/>
        <v>0</v>
      </c>
      <c r="B109" s="37" t="str">
        <f t="array" ref="B109">TEXT(WORKDAY(DATE($B$1,10,18)-1,1,IF('Holiday (Dates to Exclude)'!$D:$D=VLOOKUP($G109,'Holiday (Dates to Exclude)'!$A:$B,2,0),'Holiday (Dates to Exclude)'!$E:$E,)),"MM/DD/YY")</f>
        <v>10/18/19</v>
      </c>
      <c r="C109" s="64" t="str">
        <f t="shared" si="46"/>
        <v>Fri</v>
      </c>
      <c r="D109" s="64" t="str">
        <f t="shared" si="47"/>
        <v>Oct 2019</v>
      </c>
      <c r="E109" s="23" t="s">
        <v>174</v>
      </c>
      <c r="F109" s="23" t="s">
        <v>44</v>
      </c>
      <c r="G109" s="23" t="s">
        <v>146</v>
      </c>
      <c r="H109" s="64" t="str">
        <f t="shared" si="49"/>
        <v>Sep</v>
      </c>
      <c r="I109" s="64" t="str">
        <f t="shared" si="50"/>
        <v>09</v>
      </c>
      <c r="J109" s="64">
        <f t="shared" si="48"/>
        <v>2019</v>
      </c>
      <c r="K109" s="23" t="s">
        <v>48</v>
      </c>
      <c r="L109" s="39" t="s">
        <v>82</v>
      </c>
    </row>
    <row r="110" spans="1:13" s="39" customFormat="1" ht="15" customHeight="1" x14ac:dyDescent="0.4">
      <c r="A110" s="23" t="b">
        <f t="shared" ca="1" si="35"/>
        <v>0</v>
      </c>
      <c r="B110" s="37" t="str">
        <f t="array" ref="B110">TEXT(WORKDAY(DATE($B$1,11,18)-1,1,IF('Holiday (Dates to Exclude)'!$D:$D=VLOOKUP($G110,'Holiday (Dates to Exclude)'!$A:$B,2,0),'Holiday (Dates to Exclude)'!$E:$E,)),"MM/DD/YY")</f>
        <v>11/18/19</v>
      </c>
      <c r="C110" s="64" t="str">
        <f t="shared" si="46"/>
        <v>Mon</v>
      </c>
      <c r="D110" s="64" t="str">
        <f t="shared" si="47"/>
        <v>Nov 2019</v>
      </c>
      <c r="E110" s="23" t="s">
        <v>174</v>
      </c>
      <c r="F110" s="23" t="s">
        <v>44</v>
      </c>
      <c r="G110" s="23" t="s">
        <v>146</v>
      </c>
      <c r="H110" s="64" t="str">
        <f t="shared" si="49"/>
        <v>Oct</v>
      </c>
      <c r="I110" s="64" t="str">
        <f t="shared" si="50"/>
        <v>10</v>
      </c>
      <c r="J110" s="64">
        <f t="shared" si="48"/>
        <v>2019</v>
      </c>
      <c r="K110" s="23" t="s">
        <v>48</v>
      </c>
      <c r="L110" s="39" t="s">
        <v>82</v>
      </c>
    </row>
    <row r="111" spans="1:13" s="39" customFormat="1" ht="15" customHeight="1" x14ac:dyDescent="0.4">
      <c r="A111" s="23" t="b">
        <f t="shared" ca="1" si="35"/>
        <v>0</v>
      </c>
      <c r="B111" s="37" t="str">
        <f t="array" ref="B111">TEXT(WORKDAY(DATE($B$1,12,18)-1,1,IF('Holiday (Dates to Exclude)'!$D:$D=VLOOKUP($G111,'Holiday (Dates to Exclude)'!$A:$B,2,0),'Holiday (Dates to Exclude)'!$E:$E,)),"MM/DD/YY")</f>
        <v>12/18/19</v>
      </c>
      <c r="C111" s="64" t="str">
        <f t="shared" si="46"/>
        <v>Wed</v>
      </c>
      <c r="D111" s="64" t="str">
        <f t="shared" si="47"/>
        <v>Dec 2019</v>
      </c>
      <c r="E111" s="23" t="s">
        <v>174</v>
      </c>
      <c r="F111" s="23" t="s">
        <v>44</v>
      </c>
      <c r="G111" s="23" t="s">
        <v>146</v>
      </c>
      <c r="H111" s="64" t="str">
        <f t="shared" si="49"/>
        <v>Nov</v>
      </c>
      <c r="I111" s="64" t="str">
        <f t="shared" si="50"/>
        <v>11</v>
      </c>
      <c r="J111" s="64">
        <f t="shared" si="48"/>
        <v>2019</v>
      </c>
      <c r="K111" s="23" t="s">
        <v>48</v>
      </c>
      <c r="L111" s="39" t="s">
        <v>82</v>
      </c>
    </row>
    <row r="112" spans="1:13" s="39" customFormat="1" ht="15" customHeight="1" x14ac:dyDescent="0.4">
      <c r="A112" s="23" t="b">
        <f t="shared" ca="1" si="35"/>
        <v>1</v>
      </c>
      <c r="B112" s="37" t="str">
        <f>TEXT(WORKDAY(DATE($B$1,1,19)-1,1,IF('Holiday (Dates to Exclude)'!$D:$D=VLOOKUP($G112,'Holiday (Dates to Exclude)'!$A:$B,2,0),'Holiday (Dates to Exclude)'!$E:$E,)),"MM/DD/YY")</f>
        <v>01/21/19</v>
      </c>
      <c r="C112" s="64" t="str">
        <f t="shared" ref="C112:C123" si="51">TEXT($B112,"DDD")</f>
        <v>Mon</v>
      </c>
      <c r="D112" s="64" t="str">
        <f t="shared" ref="D112:D123" si="52">TEXT(B112,"MMM YYYY")</f>
        <v>Jan 2019</v>
      </c>
      <c r="E112" s="67" t="s">
        <v>175</v>
      </c>
      <c r="F112" s="67" t="s">
        <v>44</v>
      </c>
      <c r="G112" s="23" t="s">
        <v>160</v>
      </c>
      <c r="H112" s="64" t="str">
        <f>TEXT(EDATE($B112,-2),"MMM")</f>
        <v>Nov</v>
      </c>
      <c r="I112" s="64" t="str">
        <f>TEXT(EOMONTH($B112,-2),"MM")</f>
        <v>11</v>
      </c>
      <c r="J112" s="64">
        <f t="shared" ref="J112:J123" si="53">YEAR(B112)</f>
        <v>2019</v>
      </c>
      <c r="K112" s="23" t="s">
        <v>38</v>
      </c>
      <c r="L112" s="39" t="s">
        <v>82</v>
      </c>
    </row>
    <row r="113" spans="1:13" s="39" customFormat="1" ht="15" customHeight="1" x14ac:dyDescent="0.4">
      <c r="A113" s="23" t="b">
        <f t="shared" ca="1" si="35"/>
        <v>1</v>
      </c>
      <c r="B113" s="37" t="str">
        <f t="array" ref="B113">TEXT(WORKDAY(DATE($B$1,2,19)-1,1,IF('Holiday (Dates to Exclude)'!$D:$D=VLOOKUP($G113,'Holiday (Dates to Exclude)'!$A:$B,2,0),'Holiday (Dates to Exclude)'!$E:$E,)),"MM/DD/YY")</f>
        <v>02/19/19</v>
      </c>
      <c r="C113" s="64" t="str">
        <f t="shared" si="51"/>
        <v>Tue</v>
      </c>
      <c r="D113" s="64" t="str">
        <f t="shared" si="52"/>
        <v>Feb 2019</v>
      </c>
      <c r="E113" s="67" t="s">
        <v>175</v>
      </c>
      <c r="F113" s="67" t="s">
        <v>44</v>
      </c>
      <c r="G113" s="23" t="s">
        <v>160</v>
      </c>
      <c r="H113" s="64" t="str">
        <f t="shared" ref="H113:H123" si="54">TEXT(EDATE($B113,-2),"MMM")</f>
        <v>Dec</v>
      </c>
      <c r="I113" s="64" t="str">
        <f t="shared" ref="I113:I123" si="55">TEXT(EOMONTH($B113,-2),"MM")</f>
        <v>12</v>
      </c>
      <c r="J113" s="64">
        <f t="shared" si="53"/>
        <v>2019</v>
      </c>
      <c r="K113" s="23" t="s">
        <v>38</v>
      </c>
      <c r="L113" s="39" t="s">
        <v>82</v>
      </c>
    </row>
    <row r="114" spans="1:13" s="39" customFormat="1" ht="15" customHeight="1" x14ac:dyDescent="0.4">
      <c r="A114" s="23" t="b">
        <f t="shared" ca="1" si="35"/>
        <v>1</v>
      </c>
      <c r="B114" s="37" t="str">
        <f t="array" ref="B114">TEXT(WORKDAY(DATE($B$1,3,19)-1,1,IF('Holiday (Dates to Exclude)'!$D:$D=VLOOKUP($G114,'Holiday (Dates to Exclude)'!$A:$B,2,0),'Holiday (Dates to Exclude)'!$E:$E,)),"MM/DD/YY")</f>
        <v>03/19/19</v>
      </c>
      <c r="C114" s="64" t="str">
        <f t="shared" si="51"/>
        <v>Tue</v>
      </c>
      <c r="D114" s="64" t="str">
        <f t="shared" si="52"/>
        <v>Mar 2019</v>
      </c>
      <c r="E114" s="67" t="s">
        <v>175</v>
      </c>
      <c r="F114" s="67" t="s">
        <v>44</v>
      </c>
      <c r="G114" s="23" t="s">
        <v>160</v>
      </c>
      <c r="H114" s="64" t="str">
        <f t="shared" si="54"/>
        <v>Jan</v>
      </c>
      <c r="I114" s="64" t="str">
        <f t="shared" si="55"/>
        <v>01</v>
      </c>
      <c r="J114" s="64">
        <f t="shared" si="53"/>
        <v>2019</v>
      </c>
      <c r="K114" s="23" t="s">
        <v>38</v>
      </c>
      <c r="L114" s="39" t="s">
        <v>82</v>
      </c>
    </row>
    <row r="115" spans="1:13" s="39" customFormat="1" ht="15" customHeight="1" x14ac:dyDescent="0.4">
      <c r="A115" s="23" t="b">
        <f t="shared" ca="1" si="35"/>
        <v>1</v>
      </c>
      <c r="B115" s="37" t="str">
        <f t="array" ref="B115">TEXT(WORKDAY(DATE($B$1,4,19)-1,1,IF('Holiday (Dates to Exclude)'!$D:$D=VLOOKUP($G115,'Holiday (Dates to Exclude)'!$A:$B,2,0),'Holiday (Dates to Exclude)'!$E:$E,)),"MM/DD/YY")</f>
        <v>04/19/19</v>
      </c>
      <c r="C115" s="64" t="str">
        <f t="shared" si="51"/>
        <v>Fri</v>
      </c>
      <c r="D115" s="64" t="str">
        <f t="shared" si="52"/>
        <v>Apr 2019</v>
      </c>
      <c r="E115" s="67" t="s">
        <v>175</v>
      </c>
      <c r="F115" s="67" t="s">
        <v>44</v>
      </c>
      <c r="G115" s="23" t="s">
        <v>160</v>
      </c>
      <c r="H115" s="64" t="str">
        <f t="shared" si="54"/>
        <v>Feb</v>
      </c>
      <c r="I115" s="64" t="str">
        <f t="shared" si="55"/>
        <v>02</v>
      </c>
      <c r="J115" s="64">
        <f t="shared" si="53"/>
        <v>2019</v>
      </c>
      <c r="K115" s="23" t="s">
        <v>38</v>
      </c>
      <c r="L115" s="39" t="s">
        <v>82</v>
      </c>
    </row>
    <row r="116" spans="1:13" s="39" customFormat="1" ht="15" customHeight="1" x14ac:dyDescent="0.4">
      <c r="A116" s="23" t="b">
        <f t="shared" ca="1" si="35"/>
        <v>1</v>
      </c>
      <c r="B116" s="37" t="str">
        <f t="array" ref="B116">TEXT(WORKDAY(DATE($B$1,5,19)-1,1,IF('Holiday (Dates to Exclude)'!$D:$D=VLOOKUP($G116,'Holiday (Dates to Exclude)'!$A:$B,2,0),'Holiday (Dates to Exclude)'!$E:$E,)),"MM/DD/YY")</f>
        <v>05/20/19</v>
      </c>
      <c r="C116" s="64" t="str">
        <f t="shared" si="51"/>
        <v>Mon</v>
      </c>
      <c r="D116" s="64" t="str">
        <f t="shared" si="52"/>
        <v>May 2019</v>
      </c>
      <c r="E116" s="67" t="s">
        <v>175</v>
      </c>
      <c r="F116" s="67" t="s">
        <v>44</v>
      </c>
      <c r="G116" s="23" t="s">
        <v>160</v>
      </c>
      <c r="H116" s="64" t="str">
        <f t="shared" si="54"/>
        <v>Mar</v>
      </c>
      <c r="I116" s="64" t="str">
        <f t="shared" si="55"/>
        <v>03</v>
      </c>
      <c r="J116" s="64">
        <f t="shared" si="53"/>
        <v>2019</v>
      </c>
      <c r="K116" s="23" t="s">
        <v>38</v>
      </c>
      <c r="L116" s="39" t="s">
        <v>82</v>
      </c>
    </row>
    <row r="117" spans="1:13" s="39" customFormat="1" ht="15" customHeight="1" x14ac:dyDescent="0.4">
      <c r="A117" s="23" t="b">
        <f t="shared" ca="1" si="35"/>
        <v>0</v>
      </c>
      <c r="B117" s="37" t="str">
        <f t="array" ref="B117">TEXT(WORKDAY(DATE($B$1,6,19)-1,1,IF('Holiday (Dates to Exclude)'!$D:$D=VLOOKUP($G117,'Holiday (Dates to Exclude)'!$A:$B,2,0),'Holiday (Dates to Exclude)'!$E:$E,)),"MM/DD/YY")</f>
        <v>06/19/19</v>
      </c>
      <c r="C117" s="64" t="str">
        <f t="shared" si="51"/>
        <v>Wed</v>
      </c>
      <c r="D117" s="64" t="str">
        <f t="shared" si="52"/>
        <v>Jun 2019</v>
      </c>
      <c r="E117" s="67" t="s">
        <v>175</v>
      </c>
      <c r="F117" s="67" t="s">
        <v>44</v>
      </c>
      <c r="G117" s="23" t="s">
        <v>160</v>
      </c>
      <c r="H117" s="64" t="str">
        <f t="shared" si="54"/>
        <v>Apr</v>
      </c>
      <c r="I117" s="64" t="str">
        <f t="shared" si="55"/>
        <v>04</v>
      </c>
      <c r="J117" s="64">
        <f t="shared" si="53"/>
        <v>2019</v>
      </c>
      <c r="K117" s="23" t="s">
        <v>38</v>
      </c>
      <c r="L117" s="39" t="s">
        <v>82</v>
      </c>
    </row>
    <row r="118" spans="1:13" s="39" customFormat="1" ht="15" customHeight="1" x14ac:dyDescent="0.4">
      <c r="A118" s="23" t="b">
        <f t="shared" ca="1" si="35"/>
        <v>0</v>
      </c>
      <c r="B118" s="37" t="str">
        <f t="array" ref="B118">TEXT(WORKDAY(DATE($B$1,7,19)-1,1,IF('Holiday (Dates to Exclude)'!$D:$D=VLOOKUP($G118,'Holiday (Dates to Exclude)'!$A:$B,2,0),'Holiday (Dates to Exclude)'!$E:$E,)),"MM/DD/YY")</f>
        <v>07/19/19</v>
      </c>
      <c r="C118" s="64" t="str">
        <f t="shared" si="51"/>
        <v>Fri</v>
      </c>
      <c r="D118" s="64" t="str">
        <f t="shared" si="52"/>
        <v>Jul 2019</v>
      </c>
      <c r="E118" s="67" t="s">
        <v>175</v>
      </c>
      <c r="F118" s="67" t="s">
        <v>44</v>
      </c>
      <c r="G118" s="23" t="s">
        <v>160</v>
      </c>
      <c r="H118" s="64" t="str">
        <f t="shared" si="54"/>
        <v>May</v>
      </c>
      <c r="I118" s="64" t="str">
        <f t="shared" si="55"/>
        <v>05</v>
      </c>
      <c r="J118" s="64">
        <f t="shared" si="53"/>
        <v>2019</v>
      </c>
      <c r="K118" s="23" t="s">
        <v>38</v>
      </c>
      <c r="L118" s="39" t="s">
        <v>82</v>
      </c>
      <c r="M118" s="34" t="s">
        <v>92</v>
      </c>
    </row>
    <row r="119" spans="1:13" s="39" customFormat="1" ht="15" customHeight="1" x14ac:dyDescent="0.4">
      <c r="A119" s="23" t="b">
        <f t="shared" ca="1" si="35"/>
        <v>0</v>
      </c>
      <c r="B119" s="37" t="str">
        <f t="array" ref="B119">TEXT(WORKDAY(DATE($B$1,8,19)-1,1,IF('Holiday (Dates to Exclude)'!$D:$D=VLOOKUP($G119,'Holiday (Dates to Exclude)'!$A:$B,2,0),'Holiday (Dates to Exclude)'!$E:$E,)),"MM/DD/YY")</f>
        <v>08/19/19</v>
      </c>
      <c r="C119" s="64" t="str">
        <f t="shared" si="51"/>
        <v>Mon</v>
      </c>
      <c r="D119" s="64" t="str">
        <f t="shared" si="52"/>
        <v>Aug 2019</v>
      </c>
      <c r="E119" s="67" t="s">
        <v>175</v>
      </c>
      <c r="F119" s="67" t="s">
        <v>44</v>
      </c>
      <c r="G119" s="23" t="s">
        <v>160</v>
      </c>
      <c r="H119" s="64" t="str">
        <f t="shared" si="54"/>
        <v>Jun</v>
      </c>
      <c r="I119" s="64" t="str">
        <f t="shared" si="55"/>
        <v>06</v>
      </c>
      <c r="J119" s="64">
        <f t="shared" si="53"/>
        <v>2019</v>
      </c>
      <c r="K119" s="23" t="s">
        <v>38</v>
      </c>
      <c r="L119" s="39" t="s">
        <v>82</v>
      </c>
    </row>
    <row r="120" spans="1:13" s="39" customFormat="1" ht="15" customHeight="1" x14ac:dyDescent="0.4">
      <c r="A120" s="23" t="b">
        <f t="shared" ca="1" si="35"/>
        <v>0</v>
      </c>
      <c r="B120" s="37" t="str">
        <f t="array" ref="B120">TEXT(WORKDAY(DATE($B$1,9,19)-1,1,IF('Holiday (Dates to Exclude)'!$D:$D=VLOOKUP($G120,'Holiday (Dates to Exclude)'!$A:$B,2,0),'Holiday (Dates to Exclude)'!$E:$E,)),"MM/DD/YY")</f>
        <v>09/19/19</v>
      </c>
      <c r="C120" s="64" t="str">
        <f t="shared" si="51"/>
        <v>Thu</v>
      </c>
      <c r="D120" s="64" t="str">
        <f t="shared" si="52"/>
        <v>Sep 2019</v>
      </c>
      <c r="E120" s="67" t="s">
        <v>175</v>
      </c>
      <c r="F120" s="67" t="s">
        <v>44</v>
      </c>
      <c r="G120" s="23" t="s">
        <v>160</v>
      </c>
      <c r="H120" s="64" t="str">
        <f t="shared" si="54"/>
        <v>Jul</v>
      </c>
      <c r="I120" s="64" t="str">
        <f t="shared" si="55"/>
        <v>07</v>
      </c>
      <c r="J120" s="64">
        <f t="shared" si="53"/>
        <v>2019</v>
      </c>
      <c r="K120" s="23" t="s">
        <v>38</v>
      </c>
      <c r="L120" s="39" t="s">
        <v>82</v>
      </c>
    </row>
    <row r="121" spans="1:13" s="39" customFormat="1" ht="15" customHeight="1" x14ac:dyDescent="0.4">
      <c r="A121" s="23" t="b">
        <f t="shared" ca="1" si="35"/>
        <v>0</v>
      </c>
      <c r="B121" s="37" t="str">
        <f t="array" ref="B121">TEXT(WORKDAY(DATE($B$1,10,19)-1,1,IF('Holiday (Dates to Exclude)'!$D:$D=VLOOKUP($G121,'Holiday (Dates to Exclude)'!$A:$B,2,0),'Holiday (Dates to Exclude)'!$E:$E,)),"MM/DD/YY")</f>
        <v>10/21/19</v>
      </c>
      <c r="C121" s="64" t="str">
        <f t="shared" si="51"/>
        <v>Mon</v>
      </c>
      <c r="D121" s="64" t="str">
        <f t="shared" si="52"/>
        <v>Oct 2019</v>
      </c>
      <c r="E121" s="67" t="s">
        <v>175</v>
      </c>
      <c r="F121" s="67" t="s">
        <v>44</v>
      </c>
      <c r="G121" s="23" t="s">
        <v>160</v>
      </c>
      <c r="H121" s="64" t="str">
        <f t="shared" si="54"/>
        <v>Aug</v>
      </c>
      <c r="I121" s="64" t="str">
        <f t="shared" si="55"/>
        <v>08</v>
      </c>
      <c r="J121" s="64">
        <f t="shared" si="53"/>
        <v>2019</v>
      </c>
      <c r="K121" s="23" t="s">
        <v>38</v>
      </c>
      <c r="L121" s="39" t="s">
        <v>82</v>
      </c>
    </row>
    <row r="122" spans="1:13" s="39" customFormat="1" ht="15" customHeight="1" x14ac:dyDescent="0.4">
      <c r="A122" s="23" t="b">
        <f t="shared" ca="1" si="35"/>
        <v>0</v>
      </c>
      <c r="B122" s="37" t="str">
        <f t="array" ref="B122">TEXT(WORKDAY(DATE($B$1,11,19)-1,1,IF('Holiday (Dates to Exclude)'!$D:$D=VLOOKUP($G122,'Holiday (Dates to Exclude)'!$A:$B,2,0),'Holiday (Dates to Exclude)'!$E:$E,)),"MM/DD/YY")</f>
        <v>11/19/19</v>
      </c>
      <c r="C122" s="64" t="str">
        <f t="shared" si="51"/>
        <v>Tue</v>
      </c>
      <c r="D122" s="64" t="str">
        <f t="shared" si="52"/>
        <v>Nov 2019</v>
      </c>
      <c r="E122" s="67" t="s">
        <v>175</v>
      </c>
      <c r="F122" s="67" t="s">
        <v>44</v>
      </c>
      <c r="G122" s="23" t="s">
        <v>160</v>
      </c>
      <c r="H122" s="64" t="str">
        <f t="shared" si="54"/>
        <v>Sep</v>
      </c>
      <c r="I122" s="64" t="str">
        <f t="shared" si="55"/>
        <v>09</v>
      </c>
      <c r="J122" s="64">
        <f t="shared" si="53"/>
        <v>2019</v>
      </c>
      <c r="K122" s="23" t="s">
        <v>38</v>
      </c>
      <c r="L122" s="39" t="s">
        <v>82</v>
      </c>
    </row>
    <row r="123" spans="1:13" s="39" customFormat="1" ht="15" customHeight="1" x14ac:dyDescent="0.4">
      <c r="A123" s="23" t="b">
        <f t="shared" ca="1" si="35"/>
        <v>0</v>
      </c>
      <c r="B123" s="37" t="str">
        <f t="array" ref="B123">TEXT(WORKDAY(DATE($B$1,12,19)-1,1,IF('Holiday (Dates to Exclude)'!$D:$D=VLOOKUP($G123,'Holiday (Dates to Exclude)'!$A:$B,2,0),'Holiday (Dates to Exclude)'!$E:$E,)),"MM/DD/YY")</f>
        <v>12/19/19</v>
      </c>
      <c r="C123" s="64" t="str">
        <f t="shared" si="51"/>
        <v>Thu</v>
      </c>
      <c r="D123" s="64" t="str">
        <f t="shared" si="52"/>
        <v>Dec 2019</v>
      </c>
      <c r="E123" s="67" t="s">
        <v>175</v>
      </c>
      <c r="F123" s="67" t="s">
        <v>44</v>
      </c>
      <c r="G123" s="23" t="s">
        <v>160</v>
      </c>
      <c r="H123" s="64" t="str">
        <f t="shared" si="54"/>
        <v>Oct</v>
      </c>
      <c r="I123" s="64" t="str">
        <f t="shared" si="55"/>
        <v>10</v>
      </c>
      <c r="J123" s="64">
        <f t="shared" si="53"/>
        <v>2019</v>
      </c>
      <c r="K123" s="23" t="s">
        <v>38</v>
      </c>
      <c r="L123" s="39" t="s">
        <v>82</v>
      </c>
    </row>
    <row r="124" spans="1:13" s="39" customFormat="1" ht="15" customHeight="1" x14ac:dyDescent="0.4">
      <c r="A124" s="23" t="b">
        <f t="shared" ca="1" si="35"/>
        <v>1</v>
      </c>
      <c r="B124" s="37" t="str">
        <f>TEXT(WORKDAY(DATE($B$1,1,1)-1,1,IF('Holiday (Dates to Exclude)'!$D:$D=VLOOKUP($G124,'Holiday (Dates to Exclude)'!$A:$B,2,0),'Holiday (Dates to Exclude)'!$E:$E,)),"MM/DD/YY")</f>
        <v>01/01/19</v>
      </c>
      <c r="C124" s="64" t="str">
        <f t="shared" ref="C124:C135" si="56">TEXT($B124,"DDD")</f>
        <v>Tue</v>
      </c>
      <c r="D124" s="64" t="str">
        <f t="shared" ref="D124:D135" si="57">TEXT(B124,"MMM YYYY")</f>
        <v>Jan 2019</v>
      </c>
      <c r="E124" s="23" t="s">
        <v>173</v>
      </c>
      <c r="F124" s="67" t="s">
        <v>44</v>
      </c>
      <c r="G124" s="23" t="s">
        <v>158</v>
      </c>
      <c r="H124" s="64" t="str">
        <f>TEXT(EDATE($B124,-1),"MMM")</f>
        <v>Dec</v>
      </c>
      <c r="I124" s="64" t="str">
        <f>TEXT(EOMONTH($B124,-1),"MM")</f>
        <v>12</v>
      </c>
      <c r="J124" s="64">
        <f t="shared" ref="J124:J135" si="58">YEAR(B124)</f>
        <v>2019</v>
      </c>
      <c r="K124" s="23" t="s">
        <v>52</v>
      </c>
      <c r="L124" s="39" t="s">
        <v>82</v>
      </c>
      <c r="M124" s="34" t="s">
        <v>94</v>
      </c>
    </row>
    <row r="125" spans="1:13" s="39" customFormat="1" ht="15" customHeight="1" x14ac:dyDescent="0.4">
      <c r="A125" s="23" t="b">
        <f t="shared" ca="1" si="35"/>
        <v>1</v>
      </c>
      <c r="B125" s="37" t="str">
        <f t="array" ref="B125">TEXT(WORKDAY(DATE($B$1,2,1)-1,1,IF('Holiday (Dates to Exclude)'!$D:$D=VLOOKUP($G125,'Holiday (Dates to Exclude)'!$A:$B,2,0),'Holiday (Dates to Exclude)'!$E:$E,)),"MM/DD/YY")</f>
        <v>02/01/19</v>
      </c>
      <c r="C125" s="64" t="str">
        <f t="shared" si="56"/>
        <v>Fri</v>
      </c>
      <c r="D125" s="64" t="str">
        <f t="shared" si="57"/>
        <v>Feb 2019</v>
      </c>
      <c r="E125" s="23" t="s">
        <v>173</v>
      </c>
      <c r="F125" s="67" t="s">
        <v>44</v>
      </c>
      <c r="G125" s="23" t="s">
        <v>158</v>
      </c>
      <c r="H125" s="64" t="str">
        <f t="shared" ref="H125:H135" si="59">TEXT(EDATE($B125,-1),"MMM")</f>
        <v>Jan</v>
      </c>
      <c r="I125" s="64" t="str">
        <f t="shared" ref="I125:I135" si="60">TEXT(EOMONTH($B125,-1),"MM")</f>
        <v>01</v>
      </c>
      <c r="J125" s="64">
        <f t="shared" si="58"/>
        <v>2019</v>
      </c>
      <c r="K125" s="23" t="s">
        <v>52</v>
      </c>
      <c r="L125" s="39" t="s">
        <v>82</v>
      </c>
    </row>
    <row r="126" spans="1:13" s="39" customFormat="1" ht="15" customHeight="1" x14ac:dyDescent="0.4">
      <c r="A126" s="23" t="b">
        <f t="shared" ca="1" si="35"/>
        <v>1</v>
      </c>
      <c r="B126" s="37" t="str">
        <f t="array" ref="B126">TEXT(WORKDAY(DATE($B$1,3,1)-1,1,IF('Holiday (Dates to Exclude)'!$D:$D=VLOOKUP($G126,'Holiday (Dates to Exclude)'!$A:$B,2,0),'Holiday (Dates to Exclude)'!$E:$E,)),"MM/DD/YY")</f>
        <v>03/01/19</v>
      </c>
      <c r="C126" s="64" t="str">
        <f t="shared" si="56"/>
        <v>Fri</v>
      </c>
      <c r="D126" s="64" t="str">
        <f t="shared" si="57"/>
        <v>Mar 2019</v>
      </c>
      <c r="E126" s="23" t="s">
        <v>173</v>
      </c>
      <c r="F126" s="67" t="s">
        <v>44</v>
      </c>
      <c r="G126" s="23" t="s">
        <v>158</v>
      </c>
      <c r="H126" s="64" t="str">
        <f t="shared" si="59"/>
        <v>Feb</v>
      </c>
      <c r="I126" s="64" t="str">
        <f t="shared" si="60"/>
        <v>02</v>
      </c>
      <c r="J126" s="64">
        <f t="shared" si="58"/>
        <v>2019</v>
      </c>
      <c r="K126" s="23" t="s">
        <v>52</v>
      </c>
      <c r="L126" s="39" t="s">
        <v>82</v>
      </c>
    </row>
    <row r="127" spans="1:13" s="39" customFormat="1" ht="15" customHeight="1" x14ac:dyDescent="0.4">
      <c r="A127" s="23" t="b">
        <f t="shared" ca="1" si="35"/>
        <v>1</v>
      </c>
      <c r="B127" s="37" t="str">
        <f t="array" ref="B127">TEXT(WORKDAY(DATE($B$1,4,1)-1,1,IF('Holiday (Dates to Exclude)'!$D:$D=VLOOKUP($G127,'Holiday (Dates to Exclude)'!$A:$B,2,0),'Holiday (Dates to Exclude)'!$E:$E,)),"MM/DD/YY")</f>
        <v>04/01/19</v>
      </c>
      <c r="C127" s="64" t="str">
        <f t="shared" si="56"/>
        <v>Mon</v>
      </c>
      <c r="D127" s="64" t="str">
        <f t="shared" si="57"/>
        <v>Apr 2019</v>
      </c>
      <c r="E127" s="23" t="s">
        <v>173</v>
      </c>
      <c r="F127" s="67" t="s">
        <v>44</v>
      </c>
      <c r="G127" s="23" t="s">
        <v>158</v>
      </c>
      <c r="H127" s="64" t="str">
        <f t="shared" si="59"/>
        <v>Mar</v>
      </c>
      <c r="I127" s="64" t="str">
        <f t="shared" si="60"/>
        <v>03</v>
      </c>
      <c r="J127" s="64">
        <f t="shared" si="58"/>
        <v>2019</v>
      </c>
      <c r="K127" s="23" t="s">
        <v>52</v>
      </c>
      <c r="L127" s="39" t="s">
        <v>82</v>
      </c>
    </row>
    <row r="128" spans="1:13" s="39" customFormat="1" ht="15" customHeight="1" x14ac:dyDescent="0.4">
      <c r="A128" s="23" t="b">
        <f t="shared" ca="1" si="35"/>
        <v>1</v>
      </c>
      <c r="B128" s="37" t="str">
        <f t="array" ref="B128">TEXT(WORKDAY(DATE($B$1,5,1)-1,1,IF('Holiday (Dates to Exclude)'!$D:$D=VLOOKUP($G128,'Holiday (Dates to Exclude)'!$A:$B,2,0),'Holiday (Dates to Exclude)'!$E:$E,)),"MM/DD/YY")</f>
        <v>05/01/19</v>
      </c>
      <c r="C128" s="64" t="str">
        <f t="shared" si="56"/>
        <v>Wed</v>
      </c>
      <c r="D128" s="64" t="str">
        <f t="shared" si="57"/>
        <v>May 2019</v>
      </c>
      <c r="E128" s="23" t="s">
        <v>173</v>
      </c>
      <c r="F128" s="67" t="s">
        <v>44</v>
      </c>
      <c r="G128" s="23" t="s">
        <v>158</v>
      </c>
      <c r="H128" s="64" t="str">
        <f t="shared" si="59"/>
        <v>Apr</v>
      </c>
      <c r="I128" s="64" t="str">
        <f t="shared" si="60"/>
        <v>04</v>
      </c>
      <c r="J128" s="64">
        <f t="shared" si="58"/>
        <v>2019</v>
      </c>
      <c r="K128" s="23" t="s">
        <v>52</v>
      </c>
      <c r="L128" s="39" t="s">
        <v>82</v>
      </c>
    </row>
    <row r="129" spans="1:13" s="39" customFormat="1" ht="15" customHeight="1" x14ac:dyDescent="0.4">
      <c r="A129" s="23" t="b">
        <f t="shared" ca="1" si="35"/>
        <v>1</v>
      </c>
      <c r="B129" s="37" t="str">
        <f t="array" ref="B129">TEXT(WORKDAY(DATE($B$1,6,1)-1,1,IF('Holiday (Dates to Exclude)'!$D:$D=VLOOKUP($G129,'Holiday (Dates to Exclude)'!$A:$B,2,0),'Holiday (Dates to Exclude)'!$E:$E,)),"MM/DD/YY")</f>
        <v>06/03/19</v>
      </c>
      <c r="C129" s="64" t="str">
        <f t="shared" si="56"/>
        <v>Mon</v>
      </c>
      <c r="D129" s="64" t="str">
        <f t="shared" si="57"/>
        <v>Jun 2019</v>
      </c>
      <c r="E129" s="23" t="s">
        <v>173</v>
      </c>
      <c r="F129" s="67" t="s">
        <v>44</v>
      </c>
      <c r="G129" s="23" t="s">
        <v>158</v>
      </c>
      <c r="H129" s="64" t="str">
        <f t="shared" si="59"/>
        <v>May</v>
      </c>
      <c r="I129" s="64" t="str">
        <f t="shared" si="60"/>
        <v>05</v>
      </c>
      <c r="J129" s="64">
        <f t="shared" si="58"/>
        <v>2019</v>
      </c>
      <c r="K129" s="23" t="s">
        <v>52</v>
      </c>
      <c r="L129" s="39" t="s">
        <v>82</v>
      </c>
    </row>
    <row r="130" spans="1:13" s="39" customFormat="1" ht="15" customHeight="1" x14ac:dyDescent="0.4">
      <c r="A130" s="23" t="b">
        <f t="shared" ca="1" si="35"/>
        <v>0</v>
      </c>
      <c r="B130" s="37" t="str">
        <f t="array" ref="B130">TEXT(WORKDAY(DATE($B$1,7,1)-1,1,IF('Holiday (Dates to Exclude)'!$D:$D=VLOOKUP($G130,'Holiday (Dates to Exclude)'!$A:$B,2,0),'Holiday (Dates to Exclude)'!$E:$E,)),"MM/DD/YY")</f>
        <v>07/01/19</v>
      </c>
      <c r="C130" s="64" t="str">
        <f t="shared" si="56"/>
        <v>Mon</v>
      </c>
      <c r="D130" s="64" t="str">
        <f t="shared" si="57"/>
        <v>Jul 2019</v>
      </c>
      <c r="E130" s="23" t="s">
        <v>173</v>
      </c>
      <c r="F130" s="67" t="s">
        <v>44</v>
      </c>
      <c r="G130" s="23" t="s">
        <v>158</v>
      </c>
      <c r="H130" s="64" t="str">
        <f t="shared" si="59"/>
        <v>Jun</v>
      </c>
      <c r="I130" s="64" t="str">
        <f t="shared" si="60"/>
        <v>06</v>
      </c>
      <c r="J130" s="64">
        <f t="shared" si="58"/>
        <v>2019</v>
      </c>
      <c r="K130" s="23" t="s">
        <v>52</v>
      </c>
      <c r="L130" s="39" t="s">
        <v>82</v>
      </c>
      <c r="M130" s="34"/>
    </row>
    <row r="131" spans="1:13" s="39" customFormat="1" ht="15" customHeight="1" x14ac:dyDescent="0.4">
      <c r="A131" s="23" t="b">
        <f t="shared" ca="1" si="35"/>
        <v>0</v>
      </c>
      <c r="B131" s="37" t="str">
        <f t="array" ref="B131">TEXT(WORKDAY(DATE($B$1,8,1)-1,1,IF('Holiday (Dates to Exclude)'!$D:$D=VLOOKUP($G131,'Holiday (Dates to Exclude)'!$A:$B,2,0),'Holiday (Dates to Exclude)'!$E:$E,)),"MM/DD/YY")</f>
        <v>08/01/19</v>
      </c>
      <c r="C131" s="64" t="str">
        <f t="shared" si="56"/>
        <v>Thu</v>
      </c>
      <c r="D131" s="64" t="str">
        <f t="shared" si="57"/>
        <v>Aug 2019</v>
      </c>
      <c r="E131" s="23" t="s">
        <v>173</v>
      </c>
      <c r="F131" s="67" t="s">
        <v>44</v>
      </c>
      <c r="G131" s="23" t="s">
        <v>158</v>
      </c>
      <c r="H131" s="64" t="str">
        <f t="shared" si="59"/>
        <v>Jul</v>
      </c>
      <c r="I131" s="64" t="str">
        <f t="shared" si="60"/>
        <v>07</v>
      </c>
      <c r="J131" s="64">
        <f t="shared" si="58"/>
        <v>2019</v>
      </c>
      <c r="K131" s="23" t="s">
        <v>52</v>
      </c>
      <c r="L131" s="39" t="s">
        <v>82</v>
      </c>
    </row>
    <row r="132" spans="1:13" s="39" customFormat="1" ht="15" customHeight="1" x14ac:dyDescent="0.4">
      <c r="A132" s="23" t="b">
        <f t="shared" ca="1" si="35"/>
        <v>0</v>
      </c>
      <c r="B132" s="37" t="str">
        <f t="array" ref="B132">TEXT(WORKDAY(DATE($B$1,9,1)-1,1,IF('Holiday (Dates to Exclude)'!$D:$D=VLOOKUP($G132,'Holiday (Dates to Exclude)'!$A:$B,2,0),'Holiday (Dates to Exclude)'!$E:$E,)),"MM/DD/YY")</f>
        <v>09/02/19</v>
      </c>
      <c r="C132" s="64" t="str">
        <f t="shared" si="56"/>
        <v>Mon</v>
      </c>
      <c r="D132" s="64" t="str">
        <f t="shared" si="57"/>
        <v>Sep 2019</v>
      </c>
      <c r="E132" s="23" t="s">
        <v>173</v>
      </c>
      <c r="F132" s="67" t="s">
        <v>44</v>
      </c>
      <c r="G132" s="23" t="s">
        <v>158</v>
      </c>
      <c r="H132" s="64" t="str">
        <f t="shared" si="59"/>
        <v>Aug</v>
      </c>
      <c r="I132" s="64" t="str">
        <f t="shared" si="60"/>
        <v>08</v>
      </c>
      <c r="J132" s="64">
        <f t="shared" si="58"/>
        <v>2019</v>
      </c>
      <c r="K132" s="23" t="s">
        <v>52</v>
      </c>
      <c r="L132" s="39" t="s">
        <v>82</v>
      </c>
    </row>
    <row r="133" spans="1:13" s="39" customFormat="1" ht="15" customHeight="1" x14ac:dyDescent="0.4">
      <c r="A133" s="23" t="b">
        <f t="shared" ref="A133:A196" ca="1" si="61">TODAY()&gt;=DATE(YEAR(B133),MONTH(B133),DAY(B133))</f>
        <v>0</v>
      </c>
      <c r="B133" s="37" t="str">
        <f t="array" ref="B133">TEXT(WORKDAY(DATE($B$1,10,1)-1,1,IF('Holiday (Dates to Exclude)'!$D:$D=VLOOKUP($G133,'Holiday (Dates to Exclude)'!$A:$B,2,0),'Holiday (Dates to Exclude)'!$E:$E,)),"MM/DD/YY")</f>
        <v>10/01/19</v>
      </c>
      <c r="C133" s="64" t="str">
        <f t="shared" si="56"/>
        <v>Tue</v>
      </c>
      <c r="D133" s="64" t="str">
        <f t="shared" si="57"/>
        <v>Oct 2019</v>
      </c>
      <c r="E133" s="23" t="s">
        <v>173</v>
      </c>
      <c r="F133" s="67" t="s">
        <v>44</v>
      </c>
      <c r="G133" s="23" t="s">
        <v>158</v>
      </c>
      <c r="H133" s="64" t="str">
        <f t="shared" si="59"/>
        <v>Sep</v>
      </c>
      <c r="I133" s="64" t="str">
        <f t="shared" si="60"/>
        <v>09</v>
      </c>
      <c r="J133" s="64">
        <f t="shared" si="58"/>
        <v>2019</v>
      </c>
      <c r="K133" s="23" t="s">
        <v>52</v>
      </c>
      <c r="L133" s="39" t="s">
        <v>82</v>
      </c>
      <c r="M133" s="39" t="s">
        <v>104</v>
      </c>
    </row>
    <row r="134" spans="1:13" s="39" customFormat="1" ht="15" customHeight="1" x14ac:dyDescent="0.4">
      <c r="A134" s="23" t="b">
        <f t="shared" ca="1" si="61"/>
        <v>0</v>
      </c>
      <c r="B134" s="37" t="str">
        <f t="array" ref="B134">TEXT(WORKDAY(DATE($B$1,11,1)-1,1,IF('Holiday (Dates to Exclude)'!$D:$D=VLOOKUP($G134,'Holiday (Dates to Exclude)'!$A:$B,2,0),'Holiday (Dates to Exclude)'!$E:$E,)),"MM/DD/YY")</f>
        <v>11/01/19</v>
      </c>
      <c r="C134" s="64" t="str">
        <f t="shared" si="56"/>
        <v>Fri</v>
      </c>
      <c r="D134" s="64" t="str">
        <f t="shared" si="57"/>
        <v>Nov 2019</v>
      </c>
      <c r="E134" s="23" t="s">
        <v>173</v>
      </c>
      <c r="F134" s="67" t="s">
        <v>44</v>
      </c>
      <c r="G134" s="23" t="s">
        <v>158</v>
      </c>
      <c r="H134" s="64" t="str">
        <f t="shared" si="59"/>
        <v>Oct</v>
      </c>
      <c r="I134" s="64" t="str">
        <f t="shared" si="60"/>
        <v>10</v>
      </c>
      <c r="J134" s="64">
        <f t="shared" si="58"/>
        <v>2019</v>
      </c>
      <c r="K134" s="23" t="s">
        <v>52</v>
      </c>
      <c r="L134" s="39" t="s">
        <v>82</v>
      </c>
      <c r="M134" s="39" t="s">
        <v>104</v>
      </c>
    </row>
    <row r="135" spans="1:13" s="39" customFormat="1" ht="15" customHeight="1" x14ac:dyDescent="0.4">
      <c r="A135" s="23" t="b">
        <f t="shared" ca="1" si="61"/>
        <v>0</v>
      </c>
      <c r="B135" s="37" t="str">
        <f t="array" ref="B135">TEXT(WORKDAY(DATE($B$1,12,1)-1,1,IF('Holiday (Dates to Exclude)'!$D:$D=VLOOKUP($G135,'Holiday (Dates to Exclude)'!$A:$B,2,0),'Holiday (Dates to Exclude)'!$E:$E,)),"MM/DD/YY")</f>
        <v>12/02/19</v>
      </c>
      <c r="C135" s="64" t="str">
        <f t="shared" si="56"/>
        <v>Mon</v>
      </c>
      <c r="D135" s="64" t="str">
        <f t="shared" si="57"/>
        <v>Dec 2019</v>
      </c>
      <c r="E135" s="23" t="s">
        <v>173</v>
      </c>
      <c r="F135" s="67" t="s">
        <v>44</v>
      </c>
      <c r="G135" s="23" t="s">
        <v>158</v>
      </c>
      <c r="H135" s="64" t="str">
        <f t="shared" si="59"/>
        <v>Nov</v>
      </c>
      <c r="I135" s="64" t="str">
        <f t="shared" si="60"/>
        <v>11</v>
      </c>
      <c r="J135" s="64">
        <f t="shared" si="58"/>
        <v>2019</v>
      </c>
      <c r="K135" s="23" t="s">
        <v>52</v>
      </c>
      <c r="L135" s="39" t="s">
        <v>82</v>
      </c>
    </row>
    <row r="136" spans="1:13" s="11" customFormat="1" ht="15" customHeight="1" x14ac:dyDescent="0.4">
      <c r="A136" s="23" t="b">
        <f t="shared" ca="1" si="61"/>
        <v>1</v>
      </c>
      <c r="B136" s="62" t="str">
        <f>TEXT(WORKDAY(CEILING(EOMONTH(DATE($B$1,1,1),-1),7)+3-1,1,IF('Holiday (Dates to Exclude)'!$D:$D=VLOOKUP($G136,'Holiday (Dates to Exclude)'!$A:$B,2,0),'Holiday (Dates to Exclude)'!$E:$E,)),"MM/DD/YY")</f>
        <v>01/08/19</v>
      </c>
      <c r="C136" s="63" t="str">
        <f>TEXT(B136,"ddd")</f>
        <v>Tue</v>
      </c>
      <c r="D136" s="64" t="str">
        <f>TEXT($B136,"MMM YYYY")</f>
        <v>Jan 2019</v>
      </c>
      <c r="E136" s="23" t="s">
        <v>170</v>
      </c>
      <c r="F136" s="23" t="s">
        <v>44</v>
      </c>
      <c r="G136" s="23" t="s">
        <v>153</v>
      </c>
      <c r="H136" s="64" t="str">
        <f>TEXT(EDATE($B136,-2),"MMM")</f>
        <v>Nov</v>
      </c>
      <c r="I136" s="64" t="str">
        <f>TEXT(EOMONTH($B136,-2),"MM")</f>
        <v>11</v>
      </c>
      <c r="J136" s="64">
        <f>YEAR(B136)</f>
        <v>2019</v>
      </c>
      <c r="K136" s="68" t="s">
        <v>36</v>
      </c>
      <c r="L136" s="39" t="s">
        <v>82</v>
      </c>
      <c r="M136" s="23"/>
    </row>
    <row r="137" spans="1:13" s="13" customFormat="1" ht="15" customHeight="1" x14ac:dyDescent="0.4">
      <c r="A137" s="23" t="b">
        <f t="shared" ca="1" si="61"/>
        <v>1</v>
      </c>
      <c r="B137" s="64" t="str">
        <f>TEXT(WORKDAY(CEILING(EOMONTH(DATE($B$1,2,1),-1),7)+3-1,1,IF('Holiday (Dates to Exclude)'!$D:$D=VLOOKUP($G137,'Holiday (Dates to Exclude)'!$A:$B,2,0),'Holiday (Dates to Exclude)'!$E:$E,)),"MM/DD/YY")</f>
        <v>02/05/19</v>
      </c>
      <c r="C137" s="64" t="str">
        <f>TEXT($B137,"DDD")</f>
        <v>Tue</v>
      </c>
      <c r="D137" s="64" t="str">
        <f>TEXT($B137,"MMM YYYY")</f>
        <v>Feb 2019</v>
      </c>
      <c r="E137" s="23" t="s">
        <v>170</v>
      </c>
      <c r="F137" s="23" t="s">
        <v>44</v>
      </c>
      <c r="G137" s="23" t="s">
        <v>153</v>
      </c>
      <c r="H137" s="64" t="str">
        <f t="shared" ref="H137:H147" si="62">TEXT(EDATE($B137,-2),"MMM")</f>
        <v>Dec</v>
      </c>
      <c r="I137" s="64" t="str">
        <f t="shared" ref="I137:I147" si="63">TEXT(EOMONTH($B137,-2),"MM")</f>
        <v>12</v>
      </c>
      <c r="J137" s="64">
        <f>YEAR(B137)</f>
        <v>2019</v>
      </c>
      <c r="K137" s="68" t="s">
        <v>36</v>
      </c>
      <c r="L137" s="39" t="s">
        <v>82</v>
      </c>
      <c r="M137" s="64"/>
    </row>
    <row r="138" spans="1:13" s="13" customFormat="1" ht="15" customHeight="1" x14ac:dyDescent="0.4">
      <c r="A138" s="23" t="b">
        <f t="shared" ca="1" si="61"/>
        <v>1</v>
      </c>
      <c r="B138" s="64" t="str">
        <f>TEXT(WORKDAY(CEILING(EOMONTH(DATE($B$1,3,1),-1),7)+3-1,1,IF('Holiday (Dates to Exclude)'!$D:$D=VLOOKUP($G138,'Holiday (Dates to Exclude)'!$A:$B,2,0),'Holiday (Dates to Exclude)'!$E:$E,)),"MM/DD/YY")</f>
        <v>03/05/19</v>
      </c>
      <c r="C138" s="64" t="str">
        <f t="shared" ref="C138:C147" si="64">TEXT($B138,"DDD")</f>
        <v>Tue</v>
      </c>
      <c r="D138" s="64" t="str">
        <f t="shared" ref="D138:D147" si="65">TEXT(B138,"MMM YYYY")</f>
        <v>Mar 2019</v>
      </c>
      <c r="E138" s="23" t="s">
        <v>170</v>
      </c>
      <c r="F138" s="23" t="s">
        <v>44</v>
      </c>
      <c r="G138" s="23" t="s">
        <v>153</v>
      </c>
      <c r="H138" s="64" t="str">
        <f t="shared" si="62"/>
        <v>Jan</v>
      </c>
      <c r="I138" s="64" t="str">
        <f t="shared" si="63"/>
        <v>01</v>
      </c>
      <c r="J138" s="64">
        <f t="shared" ref="J138:J147" si="66">YEAR(B138)</f>
        <v>2019</v>
      </c>
      <c r="K138" s="68" t="s">
        <v>36</v>
      </c>
      <c r="L138" s="39" t="s">
        <v>82</v>
      </c>
      <c r="M138" s="64"/>
    </row>
    <row r="139" spans="1:13" s="13" customFormat="1" ht="15" customHeight="1" x14ac:dyDescent="0.4">
      <c r="A139" s="23" t="b">
        <f t="shared" ca="1" si="61"/>
        <v>1</v>
      </c>
      <c r="B139" s="64" t="str">
        <f>TEXT(WORKDAY(CEILING(EOMONTH(DATE($B$1,4,1),-1),7)+3-1,1,IF('Holiday (Dates to Exclude)'!$D:$D=VLOOKUP($G139,'Holiday (Dates to Exclude)'!$A:$B,2,0),'Holiday (Dates to Exclude)'!$E:$E,)),"MM/DD/YY")</f>
        <v>04/09/19</v>
      </c>
      <c r="C139" s="64" t="str">
        <f t="shared" si="64"/>
        <v>Tue</v>
      </c>
      <c r="D139" s="64" t="str">
        <f t="shared" si="65"/>
        <v>Apr 2019</v>
      </c>
      <c r="E139" s="23" t="s">
        <v>170</v>
      </c>
      <c r="F139" s="23" t="s">
        <v>44</v>
      </c>
      <c r="G139" s="23" t="s">
        <v>153</v>
      </c>
      <c r="H139" s="64" t="str">
        <f t="shared" si="62"/>
        <v>Feb</v>
      </c>
      <c r="I139" s="64" t="str">
        <f t="shared" si="63"/>
        <v>02</v>
      </c>
      <c r="J139" s="64">
        <f t="shared" si="66"/>
        <v>2019</v>
      </c>
      <c r="K139" s="68" t="s">
        <v>36</v>
      </c>
      <c r="L139" s="39" t="s">
        <v>82</v>
      </c>
      <c r="M139" s="64"/>
    </row>
    <row r="140" spans="1:13" s="13" customFormat="1" ht="15" customHeight="1" x14ac:dyDescent="0.4">
      <c r="A140" s="23" t="b">
        <f t="shared" ca="1" si="61"/>
        <v>1</v>
      </c>
      <c r="B140" s="64" t="str">
        <f>TEXT(WORKDAY(CEILING(EOMONTH(DATE($B$1,5,1),-1),7)+3-1,1,IF('Holiday (Dates to Exclude)'!$D:$D=VLOOKUP($G140,'Holiday (Dates to Exclude)'!$A:$B,2,0),'Holiday (Dates to Exclude)'!$E:$E,)),"MM/DD/YY")</f>
        <v>05/07/19</v>
      </c>
      <c r="C140" s="64" t="str">
        <f t="shared" si="64"/>
        <v>Tue</v>
      </c>
      <c r="D140" s="64" t="str">
        <f t="shared" si="65"/>
        <v>May 2019</v>
      </c>
      <c r="E140" s="23" t="s">
        <v>170</v>
      </c>
      <c r="F140" s="23" t="s">
        <v>44</v>
      </c>
      <c r="G140" s="23" t="s">
        <v>153</v>
      </c>
      <c r="H140" s="64" t="str">
        <f t="shared" si="62"/>
        <v>Mar</v>
      </c>
      <c r="I140" s="64" t="str">
        <f t="shared" si="63"/>
        <v>03</v>
      </c>
      <c r="J140" s="64">
        <f t="shared" si="66"/>
        <v>2019</v>
      </c>
      <c r="K140" s="68" t="s">
        <v>36</v>
      </c>
      <c r="L140" s="39" t="s">
        <v>82</v>
      </c>
      <c r="M140" s="64"/>
    </row>
    <row r="141" spans="1:13" s="13" customFormat="1" ht="15" customHeight="1" x14ac:dyDescent="0.4">
      <c r="A141" s="23" t="b">
        <f t="shared" ca="1" si="61"/>
        <v>1</v>
      </c>
      <c r="B141" s="64" t="str">
        <f>TEXT(WORKDAY(CEILING(EOMONTH(DATE($B$1,6,1),-1),7)+3-1,1,IF('Holiday (Dates to Exclude)'!$D:$D=VLOOKUP($G141,'Holiday (Dates to Exclude)'!$A:$B,2,0),'Holiday (Dates to Exclude)'!$E:$E,)),"MM/DD/YY")</f>
        <v>06/04/19</v>
      </c>
      <c r="C141" s="64" t="str">
        <f t="shared" si="64"/>
        <v>Tue</v>
      </c>
      <c r="D141" s="64" t="str">
        <f t="shared" si="65"/>
        <v>Jun 2019</v>
      </c>
      <c r="E141" s="23" t="s">
        <v>170</v>
      </c>
      <c r="F141" s="23" t="s">
        <v>44</v>
      </c>
      <c r="G141" s="23" t="s">
        <v>153</v>
      </c>
      <c r="H141" s="64" t="str">
        <f t="shared" si="62"/>
        <v>Apr</v>
      </c>
      <c r="I141" s="64" t="str">
        <f t="shared" si="63"/>
        <v>04</v>
      </c>
      <c r="J141" s="64">
        <f t="shared" si="66"/>
        <v>2019</v>
      </c>
      <c r="K141" s="68" t="s">
        <v>36</v>
      </c>
      <c r="L141" s="39" t="s">
        <v>82</v>
      </c>
      <c r="M141" s="64"/>
    </row>
    <row r="142" spans="1:13" s="13" customFormat="1" ht="15" customHeight="1" x14ac:dyDescent="0.4">
      <c r="A142" s="23" t="b">
        <f t="shared" ca="1" si="61"/>
        <v>0</v>
      </c>
      <c r="B142" s="64" t="str">
        <f>TEXT(WORKDAY(CEILING(EOMONTH(DATE($B$1,7,1),-1),7)+3-1,1,IF('Holiday (Dates to Exclude)'!$D:$D=VLOOKUP($G142,'Holiday (Dates to Exclude)'!$A:$B,2,0),'Holiday (Dates to Exclude)'!$E:$E,)),"MM/DD/YY")</f>
        <v>07/09/19</v>
      </c>
      <c r="C142" s="64" t="str">
        <f t="shared" si="64"/>
        <v>Tue</v>
      </c>
      <c r="D142" s="64" t="str">
        <f t="shared" si="65"/>
        <v>Jul 2019</v>
      </c>
      <c r="E142" s="23" t="s">
        <v>170</v>
      </c>
      <c r="F142" s="23" t="s">
        <v>44</v>
      </c>
      <c r="G142" s="23" t="s">
        <v>153</v>
      </c>
      <c r="H142" s="64" t="str">
        <f t="shared" si="62"/>
        <v>May</v>
      </c>
      <c r="I142" s="64" t="str">
        <f t="shared" si="63"/>
        <v>05</v>
      </c>
      <c r="J142" s="64">
        <f t="shared" si="66"/>
        <v>2019</v>
      </c>
      <c r="K142" s="68" t="s">
        <v>36</v>
      </c>
      <c r="L142" s="39" t="s">
        <v>82</v>
      </c>
      <c r="M142" s="64"/>
    </row>
    <row r="143" spans="1:13" s="13" customFormat="1" ht="15" customHeight="1" x14ac:dyDescent="0.4">
      <c r="A143" s="23" t="b">
        <f t="shared" ca="1" si="61"/>
        <v>0</v>
      </c>
      <c r="B143" s="64" t="str">
        <f>TEXT(WORKDAY(CEILING(EOMONTH(DATE($B$1,8,1),-1),7)+3-1,1,IF('Holiday (Dates to Exclude)'!$D:$D=VLOOKUP($G143,'Holiday (Dates to Exclude)'!$A:$B,2,0),'Holiday (Dates to Exclude)'!$E:$E,)),"MM/DD/YY")</f>
        <v>08/06/19</v>
      </c>
      <c r="C143" s="64" t="str">
        <f t="shared" si="64"/>
        <v>Tue</v>
      </c>
      <c r="D143" s="64" t="str">
        <f t="shared" si="65"/>
        <v>Aug 2019</v>
      </c>
      <c r="E143" s="23" t="s">
        <v>170</v>
      </c>
      <c r="F143" s="23" t="s">
        <v>44</v>
      </c>
      <c r="G143" s="23" t="s">
        <v>153</v>
      </c>
      <c r="H143" s="64" t="str">
        <f t="shared" si="62"/>
        <v>Jun</v>
      </c>
      <c r="I143" s="64" t="str">
        <f t="shared" si="63"/>
        <v>06</v>
      </c>
      <c r="J143" s="64">
        <f t="shared" si="66"/>
        <v>2019</v>
      </c>
      <c r="K143" s="68" t="s">
        <v>36</v>
      </c>
      <c r="L143" s="39" t="s">
        <v>82</v>
      </c>
      <c r="M143" s="64"/>
    </row>
    <row r="144" spans="1:13" s="13" customFormat="1" ht="15" customHeight="1" x14ac:dyDescent="0.4">
      <c r="A144" s="23" t="b">
        <f t="shared" ca="1" si="61"/>
        <v>0</v>
      </c>
      <c r="B144" s="64" t="str">
        <f>TEXT(WORKDAY(CEILING(EOMONTH(DATE($B$1,9,1),-1),7)+3-1,1,IF('Holiday (Dates to Exclude)'!$D:$D=VLOOKUP($G144,'Holiday (Dates to Exclude)'!$A:$B,2,0),'Holiday (Dates to Exclude)'!$E:$E,)),"MM/DD/YY")</f>
        <v>09/03/19</v>
      </c>
      <c r="C144" s="64" t="str">
        <f t="shared" si="64"/>
        <v>Tue</v>
      </c>
      <c r="D144" s="64" t="str">
        <f t="shared" si="65"/>
        <v>Sep 2019</v>
      </c>
      <c r="E144" s="23" t="s">
        <v>170</v>
      </c>
      <c r="F144" s="23" t="s">
        <v>44</v>
      </c>
      <c r="G144" s="23" t="s">
        <v>153</v>
      </c>
      <c r="H144" s="64" t="str">
        <f t="shared" si="62"/>
        <v>Jul</v>
      </c>
      <c r="I144" s="64" t="str">
        <f t="shared" si="63"/>
        <v>07</v>
      </c>
      <c r="J144" s="64">
        <f t="shared" si="66"/>
        <v>2019</v>
      </c>
      <c r="K144" s="68" t="s">
        <v>36</v>
      </c>
      <c r="L144" s="39" t="s">
        <v>82</v>
      </c>
      <c r="M144" s="64"/>
    </row>
    <row r="145" spans="1:13" s="13" customFormat="1" ht="15" customHeight="1" x14ac:dyDescent="0.4">
      <c r="A145" s="23" t="b">
        <f t="shared" ca="1" si="61"/>
        <v>0</v>
      </c>
      <c r="B145" s="64" t="str">
        <f>TEXT(WORKDAY(CEILING(EOMONTH(DATE($B$1,10,1),-1),7)+3-1,1,IF('Holiday (Dates to Exclude)'!$D:$D=VLOOKUP($G145,'Holiday (Dates to Exclude)'!$A:$B,2,0),'Holiday (Dates to Exclude)'!$E:$E,)),"MM/DD/YY")</f>
        <v>10/08/19</v>
      </c>
      <c r="C145" s="64" t="str">
        <f t="shared" si="64"/>
        <v>Tue</v>
      </c>
      <c r="D145" s="64" t="str">
        <f t="shared" si="65"/>
        <v>Oct 2019</v>
      </c>
      <c r="E145" s="23" t="s">
        <v>170</v>
      </c>
      <c r="F145" s="23" t="s">
        <v>44</v>
      </c>
      <c r="G145" s="23" t="s">
        <v>153</v>
      </c>
      <c r="H145" s="64" t="str">
        <f t="shared" si="62"/>
        <v>Aug</v>
      </c>
      <c r="I145" s="64" t="str">
        <f t="shared" si="63"/>
        <v>08</v>
      </c>
      <c r="J145" s="64">
        <f t="shared" si="66"/>
        <v>2019</v>
      </c>
      <c r="K145" s="68" t="s">
        <v>36</v>
      </c>
      <c r="L145" s="39" t="s">
        <v>82</v>
      </c>
      <c r="M145" s="64"/>
    </row>
    <row r="146" spans="1:13" s="13" customFormat="1" ht="15" customHeight="1" x14ac:dyDescent="0.4">
      <c r="A146" s="23" t="b">
        <f t="shared" ca="1" si="61"/>
        <v>0</v>
      </c>
      <c r="B146" s="64" t="str">
        <f>TEXT(WORKDAY(CEILING(EOMONTH(DATE($B$1,11,1),-1),7)+3-1,1,IF('Holiday (Dates to Exclude)'!$D:$D=VLOOKUP($G146,'Holiday (Dates to Exclude)'!$A:$B,2,0),'Holiday (Dates to Exclude)'!$E:$E,)),"MM/DD/YY")</f>
        <v>11/05/19</v>
      </c>
      <c r="C146" s="64" t="str">
        <f t="shared" si="64"/>
        <v>Tue</v>
      </c>
      <c r="D146" s="64" t="str">
        <f t="shared" si="65"/>
        <v>Nov 2019</v>
      </c>
      <c r="E146" s="23" t="s">
        <v>170</v>
      </c>
      <c r="F146" s="23" t="s">
        <v>44</v>
      </c>
      <c r="G146" s="23" t="s">
        <v>153</v>
      </c>
      <c r="H146" s="64" t="str">
        <f t="shared" si="62"/>
        <v>Sep</v>
      </c>
      <c r="I146" s="64" t="str">
        <f t="shared" si="63"/>
        <v>09</v>
      </c>
      <c r="J146" s="64">
        <f t="shared" si="66"/>
        <v>2019</v>
      </c>
      <c r="K146" s="68" t="s">
        <v>36</v>
      </c>
      <c r="L146" s="39" t="s">
        <v>82</v>
      </c>
      <c r="M146" s="64"/>
    </row>
    <row r="147" spans="1:13" s="13" customFormat="1" ht="15" customHeight="1" x14ac:dyDescent="0.4">
      <c r="A147" s="23" t="b">
        <f t="shared" ca="1" si="61"/>
        <v>0</v>
      </c>
      <c r="B147" s="64" t="str">
        <f>TEXT(WORKDAY(CEILING(EOMONTH(DATE($B$1,12,1),-1),7)+3-1,1,IF('Holiday (Dates to Exclude)'!$D:$D=VLOOKUP($G147,'Holiday (Dates to Exclude)'!$A:$B,2,0),'Holiday (Dates to Exclude)'!$E:$E,)),"MM/DD/YY")</f>
        <v>12/03/19</v>
      </c>
      <c r="C147" s="64" t="str">
        <f t="shared" si="64"/>
        <v>Tue</v>
      </c>
      <c r="D147" s="64" t="str">
        <f t="shared" si="65"/>
        <v>Dec 2019</v>
      </c>
      <c r="E147" s="23" t="s">
        <v>170</v>
      </c>
      <c r="F147" s="23" t="s">
        <v>44</v>
      </c>
      <c r="G147" s="23" t="s">
        <v>153</v>
      </c>
      <c r="H147" s="64" t="str">
        <f t="shared" si="62"/>
        <v>Oct</v>
      </c>
      <c r="I147" s="64" t="str">
        <f t="shared" si="63"/>
        <v>10</v>
      </c>
      <c r="J147" s="64">
        <f t="shared" si="66"/>
        <v>2019</v>
      </c>
      <c r="K147" s="68" t="s">
        <v>36</v>
      </c>
      <c r="L147" s="39" t="s">
        <v>82</v>
      </c>
      <c r="M147" s="64"/>
    </row>
    <row r="148" spans="1:13" s="39" customFormat="1" ht="15" customHeight="1" x14ac:dyDescent="0.4">
      <c r="A148" s="23" t="b">
        <f t="shared" ca="1" si="61"/>
        <v>1</v>
      </c>
      <c r="B148" s="37" t="str">
        <f>TEXT(WORKDAY(DATE($B$1,1,20)-1,1,IF('Holiday (Dates to Exclude)'!$D:$D=VLOOKUP($G148,'Holiday (Dates to Exclude)'!$A:$B,2,0),'Holiday (Dates to Exclude)'!$E:$E,)),"MM/DD/YY")</f>
        <v>01/21/19</v>
      </c>
      <c r="C148" s="64" t="str">
        <f t="shared" ref="C148:C159" si="67">TEXT($B148,"DDD")</f>
        <v>Mon</v>
      </c>
      <c r="D148" s="64" t="str">
        <f t="shared" ref="D148:D159" si="68">TEXT(B148,"MMM YYYY")</f>
        <v>Jan 2019</v>
      </c>
      <c r="E148" s="23" t="s">
        <v>172</v>
      </c>
      <c r="F148" s="67" t="s">
        <v>44</v>
      </c>
      <c r="G148" s="69" t="s">
        <v>160</v>
      </c>
      <c r="H148" s="64" t="str">
        <f>TEXT(EDATE($B148,-2),"MMM")</f>
        <v>Nov</v>
      </c>
      <c r="I148" s="64" t="str">
        <f>TEXT(EOMONTH($B148,-2),"MM")</f>
        <v>11</v>
      </c>
      <c r="J148" s="64">
        <f t="shared" ref="J148:J159" si="69">YEAR(B148)</f>
        <v>2019</v>
      </c>
      <c r="K148" s="23" t="s">
        <v>49</v>
      </c>
      <c r="L148" s="39" t="s">
        <v>82</v>
      </c>
      <c r="M148" s="34"/>
    </row>
    <row r="149" spans="1:13" s="39" customFormat="1" ht="15" customHeight="1" x14ac:dyDescent="0.4">
      <c r="A149" s="23" t="b">
        <f t="shared" ca="1" si="61"/>
        <v>1</v>
      </c>
      <c r="B149" s="37" t="str">
        <f t="array" ref="B149">TEXT(WORKDAY(DATE($B$1,2,20)-1,1,IF('Holiday (Dates to Exclude)'!$D:$D=VLOOKUP($G149,'Holiday (Dates to Exclude)'!$A:$B,2,0),'Holiday (Dates to Exclude)'!$E:$E,)),"MM/DD/YY")</f>
        <v>02/20/19</v>
      </c>
      <c r="C149" s="64" t="str">
        <f t="shared" si="67"/>
        <v>Wed</v>
      </c>
      <c r="D149" s="64" t="str">
        <f t="shared" si="68"/>
        <v>Feb 2019</v>
      </c>
      <c r="E149" s="23" t="s">
        <v>172</v>
      </c>
      <c r="F149" s="67" t="s">
        <v>44</v>
      </c>
      <c r="G149" s="69" t="s">
        <v>160</v>
      </c>
      <c r="H149" s="64" t="str">
        <f t="shared" ref="H149:H159" si="70">TEXT(EDATE($B149,-2),"MMM")</f>
        <v>Dec</v>
      </c>
      <c r="I149" s="64" t="str">
        <f t="shared" ref="I149:I159" si="71">TEXT(EOMONTH($B149,-2),"MM")</f>
        <v>12</v>
      </c>
      <c r="J149" s="64">
        <f t="shared" si="69"/>
        <v>2019</v>
      </c>
      <c r="K149" s="23" t="s">
        <v>49</v>
      </c>
      <c r="L149" s="39" t="s">
        <v>82</v>
      </c>
    </row>
    <row r="150" spans="1:13" s="39" customFormat="1" ht="15" customHeight="1" x14ac:dyDescent="0.4">
      <c r="A150" s="23" t="b">
        <f t="shared" ca="1" si="61"/>
        <v>1</v>
      </c>
      <c r="B150" s="37" t="str">
        <f t="array" ref="B150">TEXT(WORKDAY(DATE($B$1,3,20)-1,1,IF('Holiday (Dates to Exclude)'!$D:$D=VLOOKUP($G150,'Holiday (Dates to Exclude)'!$A:$B,2,0),'Holiday (Dates to Exclude)'!$E:$E,)),"MM/DD/YY")</f>
        <v>03/20/19</v>
      </c>
      <c r="C150" s="64" t="str">
        <f t="shared" si="67"/>
        <v>Wed</v>
      </c>
      <c r="D150" s="64" t="str">
        <f t="shared" si="68"/>
        <v>Mar 2019</v>
      </c>
      <c r="E150" s="23" t="s">
        <v>172</v>
      </c>
      <c r="F150" s="67" t="s">
        <v>44</v>
      </c>
      <c r="G150" s="69" t="s">
        <v>160</v>
      </c>
      <c r="H150" s="64" t="str">
        <f t="shared" si="70"/>
        <v>Jan</v>
      </c>
      <c r="I150" s="64" t="str">
        <f t="shared" si="71"/>
        <v>01</v>
      </c>
      <c r="J150" s="64">
        <f t="shared" si="69"/>
        <v>2019</v>
      </c>
      <c r="K150" s="23" t="s">
        <v>49</v>
      </c>
      <c r="L150" s="39" t="s">
        <v>82</v>
      </c>
    </row>
    <row r="151" spans="1:13" s="39" customFormat="1" ht="15" customHeight="1" x14ac:dyDescent="0.4">
      <c r="A151" s="23" t="b">
        <f t="shared" ca="1" si="61"/>
        <v>1</v>
      </c>
      <c r="B151" s="37" t="str">
        <f t="array" ref="B151">TEXT(WORKDAY(DATE($B$1,4,20)-1,1,IF('Holiday (Dates to Exclude)'!$D:$D=VLOOKUP($G151,'Holiday (Dates to Exclude)'!$A:$B,2,0),'Holiday (Dates to Exclude)'!$E:$E,)),"MM/DD/YY")</f>
        <v>04/22/19</v>
      </c>
      <c r="C151" s="64" t="str">
        <f t="shared" si="67"/>
        <v>Mon</v>
      </c>
      <c r="D151" s="64" t="str">
        <f t="shared" si="68"/>
        <v>Apr 2019</v>
      </c>
      <c r="E151" s="23" t="s">
        <v>172</v>
      </c>
      <c r="F151" s="67" t="s">
        <v>44</v>
      </c>
      <c r="G151" s="69" t="s">
        <v>160</v>
      </c>
      <c r="H151" s="64" t="str">
        <f t="shared" si="70"/>
        <v>Feb</v>
      </c>
      <c r="I151" s="64" t="str">
        <f t="shared" si="71"/>
        <v>02</v>
      </c>
      <c r="J151" s="64">
        <f t="shared" si="69"/>
        <v>2019</v>
      </c>
      <c r="K151" s="23" t="s">
        <v>49</v>
      </c>
      <c r="L151" s="39" t="s">
        <v>82</v>
      </c>
    </row>
    <row r="152" spans="1:13" s="39" customFormat="1" ht="15" customHeight="1" x14ac:dyDescent="0.4">
      <c r="A152" s="23" t="b">
        <f t="shared" ca="1" si="61"/>
        <v>1</v>
      </c>
      <c r="B152" s="37" t="str">
        <f t="array" ref="B152">TEXT(WORKDAY(DATE($B$1,5,20)-1,1,IF('Holiday (Dates to Exclude)'!$D:$D=VLOOKUP($G152,'Holiday (Dates to Exclude)'!$A:$B,2,0),'Holiday (Dates to Exclude)'!$E:$E,)),"MM/DD/YY")</f>
        <v>05/20/19</v>
      </c>
      <c r="C152" s="64" t="str">
        <f t="shared" si="67"/>
        <v>Mon</v>
      </c>
      <c r="D152" s="64" t="str">
        <f t="shared" si="68"/>
        <v>May 2019</v>
      </c>
      <c r="E152" s="23" t="s">
        <v>172</v>
      </c>
      <c r="F152" s="67" t="s">
        <v>44</v>
      </c>
      <c r="G152" s="69" t="s">
        <v>160</v>
      </c>
      <c r="H152" s="64" t="str">
        <f t="shared" si="70"/>
        <v>Mar</v>
      </c>
      <c r="I152" s="64" t="str">
        <f t="shared" si="71"/>
        <v>03</v>
      </c>
      <c r="J152" s="64">
        <f t="shared" si="69"/>
        <v>2019</v>
      </c>
      <c r="K152" s="23" t="s">
        <v>49</v>
      </c>
      <c r="L152" s="39" t="s">
        <v>82</v>
      </c>
    </row>
    <row r="153" spans="1:13" s="39" customFormat="1" ht="15" customHeight="1" x14ac:dyDescent="0.4">
      <c r="A153" s="23" t="b">
        <f t="shared" ca="1" si="61"/>
        <v>0</v>
      </c>
      <c r="B153" s="37" t="str">
        <f t="array" ref="B153">TEXT(WORKDAY(DATE($B$1,6,20)-1,1,IF('Holiday (Dates to Exclude)'!$D:$D=VLOOKUP($G153,'Holiday (Dates to Exclude)'!$A:$B,2,0),'Holiday (Dates to Exclude)'!$E:$E,)),"MM/DD/YY")</f>
        <v>06/20/19</v>
      </c>
      <c r="C153" s="64" t="str">
        <f t="shared" si="67"/>
        <v>Thu</v>
      </c>
      <c r="D153" s="64" t="str">
        <f t="shared" si="68"/>
        <v>Jun 2019</v>
      </c>
      <c r="E153" s="23" t="s">
        <v>172</v>
      </c>
      <c r="F153" s="67" t="s">
        <v>44</v>
      </c>
      <c r="G153" s="69" t="s">
        <v>160</v>
      </c>
      <c r="H153" s="64" t="str">
        <f t="shared" si="70"/>
        <v>Apr</v>
      </c>
      <c r="I153" s="64" t="str">
        <f t="shared" si="71"/>
        <v>04</v>
      </c>
      <c r="J153" s="64">
        <f t="shared" si="69"/>
        <v>2019</v>
      </c>
      <c r="K153" s="23" t="s">
        <v>49</v>
      </c>
      <c r="L153" s="39" t="s">
        <v>82</v>
      </c>
    </row>
    <row r="154" spans="1:13" s="39" customFormat="1" ht="15" customHeight="1" x14ac:dyDescent="0.4">
      <c r="A154" s="23" t="b">
        <f t="shared" ca="1" si="61"/>
        <v>0</v>
      </c>
      <c r="B154" s="37" t="str">
        <f t="array" ref="B154">TEXT(WORKDAY(DATE($B$1,7,20)-1,1,IF('Holiday (Dates to Exclude)'!$D:$D=VLOOKUP($G154,'Holiday (Dates to Exclude)'!$A:$B,2,0),'Holiday (Dates to Exclude)'!$E:$E,)),"MM/DD/YY")</f>
        <v>07/22/19</v>
      </c>
      <c r="C154" s="64" t="str">
        <f t="shared" si="67"/>
        <v>Mon</v>
      </c>
      <c r="D154" s="64" t="str">
        <f t="shared" si="68"/>
        <v>Jul 2019</v>
      </c>
      <c r="E154" s="23" t="s">
        <v>172</v>
      </c>
      <c r="F154" s="67" t="s">
        <v>44</v>
      </c>
      <c r="G154" s="69" t="s">
        <v>160</v>
      </c>
      <c r="H154" s="64" t="str">
        <f t="shared" si="70"/>
        <v>May</v>
      </c>
      <c r="I154" s="64" t="str">
        <f t="shared" si="71"/>
        <v>05</v>
      </c>
      <c r="J154" s="64">
        <f t="shared" si="69"/>
        <v>2019</v>
      </c>
      <c r="K154" s="23" t="s">
        <v>49</v>
      </c>
      <c r="L154" s="39" t="s">
        <v>82</v>
      </c>
      <c r="M154" s="34"/>
    </row>
    <row r="155" spans="1:13" s="39" customFormat="1" ht="15" customHeight="1" x14ac:dyDescent="0.4">
      <c r="A155" s="23" t="b">
        <f t="shared" ca="1" si="61"/>
        <v>0</v>
      </c>
      <c r="B155" s="37" t="str">
        <f t="array" ref="B155">TEXT(WORKDAY(DATE($B$1,8,20)-1,1,IF('Holiday (Dates to Exclude)'!$D:$D=VLOOKUP($G155,'Holiday (Dates to Exclude)'!$A:$B,2,0),'Holiday (Dates to Exclude)'!$E:$E,)),"MM/DD/YY")</f>
        <v>08/20/19</v>
      </c>
      <c r="C155" s="64" t="str">
        <f t="shared" si="67"/>
        <v>Tue</v>
      </c>
      <c r="D155" s="64" t="str">
        <f t="shared" si="68"/>
        <v>Aug 2019</v>
      </c>
      <c r="E155" s="23" t="s">
        <v>172</v>
      </c>
      <c r="F155" s="67" t="s">
        <v>44</v>
      </c>
      <c r="G155" s="69" t="s">
        <v>160</v>
      </c>
      <c r="H155" s="64" t="str">
        <f t="shared" si="70"/>
        <v>Jun</v>
      </c>
      <c r="I155" s="64" t="str">
        <f t="shared" si="71"/>
        <v>06</v>
      </c>
      <c r="J155" s="64">
        <f t="shared" si="69"/>
        <v>2019</v>
      </c>
      <c r="K155" s="23" t="s">
        <v>49</v>
      </c>
      <c r="L155" s="39" t="s">
        <v>82</v>
      </c>
    </row>
    <row r="156" spans="1:13" s="39" customFormat="1" ht="15" customHeight="1" x14ac:dyDescent="0.4">
      <c r="A156" s="23" t="b">
        <f t="shared" ca="1" si="61"/>
        <v>0</v>
      </c>
      <c r="B156" s="37" t="str">
        <f t="array" ref="B156">TEXT(WORKDAY(DATE($B$1,9,20)-1,1,IF('Holiday (Dates to Exclude)'!$D:$D=VLOOKUP($G156,'Holiday (Dates to Exclude)'!$A:$B,2,0),'Holiday (Dates to Exclude)'!$E:$E,)),"MM/DD/YY")</f>
        <v>09/20/19</v>
      </c>
      <c r="C156" s="64" t="str">
        <f t="shared" si="67"/>
        <v>Fri</v>
      </c>
      <c r="D156" s="64" t="str">
        <f t="shared" si="68"/>
        <v>Sep 2019</v>
      </c>
      <c r="E156" s="23" t="s">
        <v>172</v>
      </c>
      <c r="F156" s="67" t="s">
        <v>44</v>
      </c>
      <c r="G156" s="69" t="s">
        <v>160</v>
      </c>
      <c r="H156" s="64" t="str">
        <f t="shared" si="70"/>
        <v>Jul</v>
      </c>
      <c r="I156" s="64" t="str">
        <f t="shared" si="71"/>
        <v>07</v>
      </c>
      <c r="J156" s="64">
        <f t="shared" si="69"/>
        <v>2019</v>
      </c>
      <c r="K156" s="23" t="s">
        <v>49</v>
      </c>
      <c r="L156" s="39" t="s">
        <v>82</v>
      </c>
    </row>
    <row r="157" spans="1:13" s="39" customFormat="1" ht="15" customHeight="1" x14ac:dyDescent="0.4">
      <c r="A157" s="23" t="b">
        <f t="shared" ca="1" si="61"/>
        <v>0</v>
      </c>
      <c r="B157" s="37" t="str">
        <f t="array" ref="B157">TEXT(WORKDAY(DATE($B$1,10,20)-1,1,IF('Holiday (Dates to Exclude)'!$D:$D=VLOOKUP($G157,'Holiday (Dates to Exclude)'!$A:$B,2,0),'Holiday (Dates to Exclude)'!$E:$E,)),"MM/DD/YY")</f>
        <v>10/21/19</v>
      </c>
      <c r="C157" s="64" t="str">
        <f t="shared" si="67"/>
        <v>Mon</v>
      </c>
      <c r="D157" s="64" t="str">
        <f t="shared" si="68"/>
        <v>Oct 2019</v>
      </c>
      <c r="E157" s="23" t="s">
        <v>172</v>
      </c>
      <c r="F157" s="67" t="s">
        <v>44</v>
      </c>
      <c r="G157" s="69" t="s">
        <v>160</v>
      </c>
      <c r="H157" s="64" t="str">
        <f t="shared" si="70"/>
        <v>Aug</v>
      </c>
      <c r="I157" s="64" t="str">
        <f t="shared" si="71"/>
        <v>08</v>
      </c>
      <c r="J157" s="64">
        <f t="shared" si="69"/>
        <v>2019</v>
      </c>
      <c r="K157" s="23" t="s">
        <v>49</v>
      </c>
      <c r="L157" s="39" t="s">
        <v>82</v>
      </c>
    </row>
    <row r="158" spans="1:13" s="39" customFormat="1" ht="15" customHeight="1" x14ac:dyDescent="0.4">
      <c r="A158" s="23" t="b">
        <f t="shared" ca="1" si="61"/>
        <v>0</v>
      </c>
      <c r="B158" s="37" t="str">
        <f t="array" ref="B158">TEXT(WORKDAY(DATE($B$1,11,20)-1,1,IF('Holiday (Dates to Exclude)'!$D:$D=VLOOKUP($G158,'Holiday (Dates to Exclude)'!$A:$B,2,0),'Holiday (Dates to Exclude)'!$E:$E,)),"MM/DD/YY")</f>
        <v>11/20/19</v>
      </c>
      <c r="C158" s="64" t="str">
        <f t="shared" si="67"/>
        <v>Wed</v>
      </c>
      <c r="D158" s="64" t="str">
        <f t="shared" si="68"/>
        <v>Nov 2019</v>
      </c>
      <c r="E158" s="23" t="s">
        <v>172</v>
      </c>
      <c r="F158" s="67" t="s">
        <v>44</v>
      </c>
      <c r="G158" s="69" t="s">
        <v>160</v>
      </c>
      <c r="H158" s="64" t="str">
        <f t="shared" si="70"/>
        <v>Sep</v>
      </c>
      <c r="I158" s="64" t="str">
        <f t="shared" si="71"/>
        <v>09</v>
      </c>
      <c r="J158" s="64">
        <f t="shared" si="69"/>
        <v>2019</v>
      </c>
      <c r="K158" s="23" t="s">
        <v>49</v>
      </c>
      <c r="L158" s="39" t="s">
        <v>82</v>
      </c>
    </row>
    <row r="159" spans="1:13" s="39" customFormat="1" ht="15" customHeight="1" x14ac:dyDescent="0.4">
      <c r="A159" s="23" t="b">
        <f t="shared" ca="1" si="61"/>
        <v>0</v>
      </c>
      <c r="B159" s="37" t="str">
        <f t="array" ref="B159">TEXT(WORKDAY(DATE($B$1,12,20)-1,1,IF('Holiday (Dates to Exclude)'!$D:$D=VLOOKUP($G159,'Holiday (Dates to Exclude)'!$A:$B,2,0),'Holiday (Dates to Exclude)'!$E:$E,)),"MM/DD/YY")</f>
        <v>12/20/19</v>
      </c>
      <c r="C159" s="64" t="str">
        <f t="shared" si="67"/>
        <v>Fri</v>
      </c>
      <c r="D159" s="64" t="str">
        <f t="shared" si="68"/>
        <v>Dec 2019</v>
      </c>
      <c r="E159" s="23" t="s">
        <v>172</v>
      </c>
      <c r="F159" s="67" t="s">
        <v>44</v>
      </c>
      <c r="G159" s="69" t="s">
        <v>160</v>
      </c>
      <c r="H159" s="64" t="str">
        <f t="shared" si="70"/>
        <v>Oct</v>
      </c>
      <c r="I159" s="64" t="str">
        <f t="shared" si="71"/>
        <v>10</v>
      </c>
      <c r="J159" s="64">
        <f t="shared" si="69"/>
        <v>2019</v>
      </c>
      <c r="K159" s="23" t="s">
        <v>49</v>
      </c>
      <c r="L159" s="39" t="s">
        <v>82</v>
      </c>
    </row>
    <row r="160" spans="1:13" s="39" customFormat="1" ht="15" customHeight="1" x14ac:dyDescent="0.4">
      <c r="A160" s="23" t="b">
        <f t="shared" ca="1" si="61"/>
        <v>1</v>
      </c>
      <c r="B160" s="37" t="str">
        <f>TEXT(WORKDAY(DATE($B$1,1,21)-1,1,IF('Holiday (Dates to Exclude)'!$D:$D=VLOOKUP($G160,'Holiday (Dates to Exclude)'!$A:$B,2,0),'Holiday (Dates to Exclude)'!$E:$E,)),"MM/DD/YY")</f>
        <v>01/21/19</v>
      </c>
      <c r="C160" s="64" t="str">
        <f t="shared" ref="C160:C171" si="72">TEXT($B160,"DDD")</f>
        <v>Mon</v>
      </c>
      <c r="D160" s="64" t="str">
        <f t="shared" ref="D160:D171" si="73">TEXT(B160,"MMM YYYY")</f>
        <v>Jan 2019</v>
      </c>
      <c r="E160" s="23" t="s">
        <v>174</v>
      </c>
      <c r="F160" s="67" t="s">
        <v>44</v>
      </c>
      <c r="G160" s="69" t="s">
        <v>146</v>
      </c>
      <c r="H160" s="64" t="str">
        <f>TEXT(EDATE($B160,-1),"MMM")</f>
        <v>Dec</v>
      </c>
      <c r="I160" s="64" t="str">
        <f>TEXT(EOMONTH($B160,-1),"MM")</f>
        <v>12</v>
      </c>
      <c r="J160" s="64">
        <f t="shared" ref="J160:J171" si="74">YEAR(B160)</f>
        <v>2019</v>
      </c>
      <c r="K160" s="23" t="s">
        <v>50</v>
      </c>
      <c r="L160" s="39" t="s">
        <v>82</v>
      </c>
      <c r="M160" s="34"/>
    </row>
    <row r="161" spans="1:13" s="39" customFormat="1" ht="15" customHeight="1" x14ac:dyDescent="0.4">
      <c r="A161" s="23" t="b">
        <f t="shared" ca="1" si="61"/>
        <v>1</v>
      </c>
      <c r="B161" s="37" t="str">
        <f t="array" ref="B161">TEXT(WORKDAY(DATE($B$1,2,21)-1,1,IF('Holiday (Dates to Exclude)'!$D:$D=VLOOKUP($G161,'Holiday (Dates to Exclude)'!$A:$B,2,0),'Holiday (Dates to Exclude)'!$E:$E,)),"MM/DD/YY")</f>
        <v>02/21/19</v>
      </c>
      <c r="C161" s="64" t="str">
        <f t="shared" si="72"/>
        <v>Thu</v>
      </c>
      <c r="D161" s="64" t="str">
        <f t="shared" si="73"/>
        <v>Feb 2019</v>
      </c>
      <c r="E161" s="23" t="s">
        <v>174</v>
      </c>
      <c r="F161" s="67" t="s">
        <v>44</v>
      </c>
      <c r="G161" s="69" t="s">
        <v>146</v>
      </c>
      <c r="H161" s="64" t="str">
        <f t="shared" ref="H161:H171" si="75">TEXT(EDATE($B161,-1),"MMM")</f>
        <v>Jan</v>
      </c>
      <c r="I161" s="64" t="str">
        <f t="shared" ref="I161:I171" si="76">TEXT(EOMONTH($B161,-1),"MM")</f>
        <v>01</v>
      </c>
      <c r="J161" s="64">
        <f t="shared" si="74"/>
        <v>2019</v>
      </c>
      <c r="K161" s="23" t="s">
        <v>50</v>
      </c>
      <c r="L161" s="39" t="s">
        <v>82</v>
      </c>
    </row>
    <row r="162" spans="1:13" s="39" customFormat="1" ht="15" customHeight="1" x14ac:dyDescent="0.4">
      <c r="A162" s="23" t="b">
        <f t="shared" ca="1" si="61"/>
        <v>1</v>
      </c>
      <c r="B162" s="37" t="str">
        <f t="array" ref="B162">TEXT(WORKDAY(DATE($B$1,3,21)-1,1,IF('Holiday (Dates to Exclude)'!$D:$D=VLOOKUP($G162,'Holiday (Dates to Exclude)'!$A:$B,2,0),'Holiday (Dates to Exclude)'!$E:$E,)),"MM/DD/YY")</f>
        <v>03/21/19</v>
      </c>
      <c r="C162" s="64" t="str">
        <f t="shared" si="72"/>
        <v>Thu</v>
      </c>
      <c r="D162" s="64" t="str">
        <f t="shared" si="73"/>
        <v>Mar 2019</v>
      </c>
      <c r="E162" s="23" t="s">
        <v>174</v>
      </c>
      <c r="F162" s="67" t="s">
        <v>44</v>
      </c>
      <c r="G162" s="69" t="s">
        <v>146</v>
      </c>
      <c r="H162" s="64" t="str">
        <f t="shared" si="75"/>
        <v>Feb</v>
      </c>
      <c r="I162" s="64" t="str">
        <f t="shared" si="76"/>
        <v>02</v>
      </c>
      <c r="J162" s="64">
        <f t="shared" si="74"/>
        <v>2019</v>
      </c>
      <c r="K162" s="23" t="s">
        <v>50</v>
      </c>
      <c r="L162" s="39" t="s">
        <v>82</v>
      </c>
    </row>
    <row r="163" spans="1:13" s="39" customFormat="1" ht="15" customHeight="1" x14ac:dyDescent="0.4">
      <c r="A163" s="23" t="b">
        <f t="shared" ca="1" si="61"/>
        <v>1</v>
      </c>
      <c r="B163" s="37" t="str">
        <f t="array" ref="B163">TEXT(WORKDAY(DATE($B$1,4,21)-1,1,IF('Holiday (Dates to Exclude)'!$D:$D=VLOOKUP($G163,'Holiday (Dates to Exclude)'!$A:$B,2,0),'Holiday (Dates to Exclude)'!$E:$E,)),"MM/DD/YY")</f>
        <v>04/22/19</v>
      </c>
      <c r="C163" s="64" t="str">
        <f t="shared" si="72"/>
        <v>Mon</v>
      </c>
      <c r="D163" s="64" t="str">
        <f t="shared" si="73"/>
        <v>Apr 2019</v>
      </c>
      <c r="E163" s="23" t="s">
        <v>174</v>
      </c>
      <c r="F163" s="67" t="s">
        <v>44</v>
      </c>
      <c r="G163" s="69" t="s">
        <v>146</v>
      </c>
      <c r="H163" s="64" t="str">
        <f t="shared" si="75"/>
        <v>Mar</v>
      </c>
      <c r="I163" s="64" t="str">
        <f t="shared" si="76"/>
        <v>03</v>
      </c>
      <c r="J163" s="64">
        <f t="shared" si="74"/>
        <v>2019</v>
      </c>
      <c r="K163" s="23" t="s">
        <v>50</v>
      </c>
      <c r="L163" s="39" t="s">
        <v>82</v>
      </c>
    </row>
    <row r="164" spans="1:13" s="39" customFormat="1" ht="15" customHeight="1" x14ac:dyDescent="0.4">
      <c r="A164" s="23" t="b">
        <f t="shared" ca="1" si="61"/>
        <v>1</v>
      </c>
      <c r="B164" s="37" t="str">
        <f t="array" ref="B164">TEXT(WORKDAY(DATE($B$1,5,21)-1,1,IF('Holiday (Dates to Exclude)'!$D:$D=VLOOKUP($G164,'Holiday (Dates to Exclude)'!$A:$B,2,0),'Holiday (Dates to Exclude)'!$E:$E,)),"MM/DD/YY")</f>
        <v>05/21/19</v>
      </c>
      <c r="C164" s="64" t="str">
        <f t="shared" si="72"/>
        <v>Tue</v>
      </c>
      <c r="D164" s="64" t="str">
        <f t="shared" si="73"/>
        <v>May 2019</v>
      </c>
      <c r="E164" s="23" t="s">
        <v>174</v>
      </c>
      <c r="F164" s="67" t="s">
        <v>44</v>
      </c>
      <c r="G164" s="69" t="s">
        <v>146</v>
      </c>
      <c r="H164" s="64" t="str">
        <f t="shared" si="75"/>
        <v>Apr</v>
      </c>
      <c r="I164" s="64" t="str">
        <f t="shared" si="76"/>
        <v>04</v>
      </c>
      <c r="J164" s="64">
        <f t="shared" si="74"/>
        <v>2019</v>
      </c>
      <c r="K164" s="23" t="s">
        <v>50</v>
      </c>
      <c r="L164" s="39" t="s">
        <v>82</v>
      </c>
    </row>
    <row r="165" spans="1:13" s="39" customFormat="1" ht="15" customHeight="1" x14ac:dyDescent="0.4">
      <c r="A165" s="23" t="b">
        <f t="shared" ca="1" si="61"/>
        <v>0</v>
      </c>
      <c r="B165" s="37" t="str">
        <f t="array" ref="B165">TEXT(WORKDAY(DATE($B$1,6,21)-1,1,IF('Holiday (Dates to Exclude)'!$D:$D=VLOOKUP($G165,'Holiday (Dates to Exclude)'!$A:$B,2,0),'Holiday (Dates to Exclude)'!$E:$E,)),"MM/DD/YY")</f>
        <v>06/21/19</v>
      </c>
      <c r="C165" s="64" t="str">
        <f t="shared" si="72"/>
        <v>Fri</v>
      </c>
      <c r="D165" s="64" t="str">
        <f t="shared" si="73"/>
        <v>Jun 2019</v>
      </c>
      <c r="E165" s="23" t="s">
        <v>174</v>
      </c>
      <c r="F165" s="67" t="s">
        <v>44</v>
      </c>
      <c r="G165" s="69" t="s">
        <v>146</v>
      </c>
      <c r="H165" s="64" t="str">
        <f t="shared" si="75"/>
        <v>May</v>
      </c>
      <c r="I165" s="64" t="str">
        <f t="shared" si="76"/>
        <v>05</v>
      </c>
      <c r="J165" s="64">
        <f t="shared" si="74"/>
        <v>2019</v>
      </c>
      <c r="K165" s="23" t="s">
        <v>50</v>
      </c>
      <c r="L165" s="39" t="s">
        <v>82</v>
      </c>
    </row>
    <row r="166" spans="1:13" s="39" customFormat="1" ht="15" customHeight="1" x14ac:dyDescent="0.4">
      <c r="A166" s="23" t="b">
        <f t="shared" ca="1" si="61"/>
        <v>0</v>
      </c>
      <c r="B166" s="37" t="str">
        <f t="array" ref="B166">TEXT(WORKDAY(DATE($B$1,7,21)-1,1,IF('Holiday (Dates to Exclude)'!$D:$D=VLOOKUP($G166,'Holiday (Dates to Exclude)'!$A:$B,2,0),'Holiday (Dates to Exclude)'!$E:$E,)),"MM/DD/YY")</f>
        <v>07/22/19</v>
      </c>
      <c r="C166" s="64" t="str">
        <f t="shared" si="72"/>
        <v>Mon</v>
      </c>
      <c r="D166" s="64" t="str">
        <f t="shared" si="73"/>
        <v>Jul 2019</v>
      </c>
      <c r="E166" s="23" t="s">
        <v>174</v>
      </c>
      <c r="F166" s="67" t="s">
        <v>44</v>
      </c>
      <c r="G166" s="69" t="s">
        <v>146</v>
      </c>
      <c r="H166" s="64" t="str">
        <f t="shared" si="75"/>
        <v>Jun</v>
      </c>
      <c r="I166" s="64" t="str">
        <f t="shared" si="76"/>
        <v>06</v>
      </c>
      <c r="J166" s="64">
        <f t="shared" si="74"/>
        <v>2019</v>
      </c>
      <c r="K166" s="23" t="s">
        <v>50</v>
      </c>
      <c r="L166" s="39" t="s">
        <v>82</v>
      </c>
      <c r="M166" s="34"/>
    </row>
    <row r="167" spans="1:13" s="39" customFormat="1" ht="15" customHeight="1" x14ac:dyDescent="0.4">
      <c r="A167" s="23" t="b">
        <f t="shared" ca="1" si="61"/>
        <v>0</v>
      </c>
      <c r="B167" s="37" t="str">
        <f t="array" ref="B167">TEXT(WORKDAY(DATE($B$1,8,21)-1,1,IF('Holiday (Dates to Exclude)'!$D:$D=VLOOKUP($G167,'Holiday (Dates to Exclude)'!$A:$B,2,0),'Holiday (Dates to Exclude)'!$E:$E,)),"MM/DD/YY")</f>
        <v>08/21/19</v>
      </c>
      <c r="C167" s="64" t="str">
        <f t="shared" si="72"/>
        <v>Wed</v>
      </c>
      <c r="D167" s="64" t="str">
        <f t="shared" si="73"/>
        <v>Aug 2019</v>
      </c>
      <c r="E167" s="23" t="s">
        <v>174</v>
      </c>
      <c r="F167" s="67" t="s">
        <v>44</v>
      </c>
      <c r="G167" s="69" t="s">
        <v>146</v>
      </c>
      <c r="H167" s="64" t="str">
        <f t="shared" si="75"/>
        <v>Jul</v>
      </c>
      <c r="I167" s="64" t="str">
        <f t="shared" si="76"/>
        <v>07</v>
      </c>
      <c r="J167" s="64">
        <f t="shared" si="74"/>
        <v>2019</v>
      </c>
      <c r="K167" s="23" t="s">
        <v>50</v>
      </c>
      <c r="L167" s="39" t="s">
        <v>82</v>
      </c>
    </row>
    <row r="168" spans="1:13" s="39" customFormat="1" ht="15" customHeight="1" x14ac:dyDescent="0.4">
      <c r="A168" s="23" t="b">
        <f t="shared" ca="1" si="61"/>
        <v>0</v>
      </c>
      <c r="B168" s="37" t="str">
        <f t="array" ref="B168">TEXT(WORKDAY(DATE($B$1,9,21)-1,1,IF('Holiday (Dates to Exclude)'!$D:$D=VLOOKUP($G168,'Holiday (Dates to Exclude)'!$A:$B,2,0),'Holiday (Dates to Exclude)'!$E:$E,)),"MM/DD/YY")</f>
        <v>09/23/19</v>
      </c>
      <c r="C168" s="64" t="str">
        <f t="shared" si="72"/>
        <v>Mon</v>
      </c>
      <c r="D168" s="64" t="str">
        <f t="shared" si="73"/>
        <v>Sep 2019</v>
      </c>
      <c r="E168" s="23" t="s">
        <v>174</v>
      </c>
      <c r="F168" s="67" t="s">
        <v>44</v>
      </c>
      <c r="G168" s="69" t="s">
        <v>146</v>
      </c>
      <c r="H168" s="64" t="str">
        <f t="shared" si="75"/>
        <v>Aug</v>
      </c>
      <c r="I168" s="64" t="str">
        <f t="shared" si="76"/>
        <v>08</v>
      </c>
      <c r="J168" s="64">
        <f t="shared" si="74"/>
        <v>2019</v>
      </c>
      <c r="K168" s="23" t="s">
        <v>50</v>
      </c>
      <c r="L168" s="39" t="s">
        <v>82</v>
      </c>
    </row>
    <row r="169" spans="1:13" s="39" customFormat="1" ht="15" customHeight="1" x14ac:dyDescent="0.4">
      <c r="A169" s="23" t="b">
        <f t="shared" ca="1" si="61"/>
        <v>0</v>
      </c>
      <c r="B169" s="37" t="str">
        <f t="array" ref="B169">TEXT(WORKDAY(DATE($B$1,10,21)-1,1,IF('Holiday (Dates to Exclude)'!$D:$D=VLOOKUP($G169,'Holiday (Dates to Exclude)'!$A:$B,2,0),'Holiday (Dates to Exclude)'!$E:$E,)),"MM/DD/YY")</f>
        <v>10/21/19</v>
      </c>
      <c r="C169" s="64" t="str">
        <f t="shared" si="72"/>
        <v>Mon</v>
      </c>
      <c r="D169" s="64" t="str">
        <f t="shared" si="73"/>
        <v>Oct 2019</v>
      </c>
      <c r="E169" s="23" t="s">
        <v>174</v>
      </c>
      <c r="F169" s="67" t="s">
        <v>44</v>
      </c>
      <c r="G169" s="69" t="s">
        <v>146</v>
      </c>
      <c r="H169" s="64" t="str">
        <f t="shared" si="75"/>
        <v>Sep</v>
      </c>
      <c r="I169" s="64" t="str">
        <f t="shared" si="76"/>
        <v>09</v>
      </c>
      <c r="J169" s="64">
        <f t="shared" si="74"/>
        <v>2019</v>
      </c>
      <c r="K169" s="23" t="s">
        <v>50</v>
      </c>
      <c r="L169" s="39" t="s">
        <v>82</v>
      </c>
    </row>
    <row r="170" spans="1:13" s="39" customFormat="1" ht="15" customHeight="1" x14ac:dyDescent="0.4">
      <c r="A170" s="23" t="b">
        <f t="shared" ca="1" si="61"/>
        <v>0</v>
      </c>
      <c r="B170" s="37" t="str">
        <f t="array" ref="B170">TEXT(WORKDAY(DATE($B$1,11,21)-1,1,IF('Holiday (Dates to Exclude)'!$D:$D=VLOOKUP($G170,'Holiday (Dates to Exclude)'!$A:$B,2,0),'Holiday (Dates to Exclude)'!$E:$E,)),"MM/DD/YY")</f>
        <v>11/21/19</v>
      </c>
      <c r="C170" s="64" t="str">
        <f t="shared" si="72"/>
        <v>Thu</v>
      </c>
      <c r="D170" s="64" t="str">
        <f t="shared" si="73"/>
        <v>Nov 2019</v>
      </c>
      <c r="E170" s="23" t="s">
        <v>174</v>
      </c>
      <c r="F170" s="67" t="s">
        <v>44</v>
      </c>
      <c r="G170" s="69" t="s">
        <v>146</v>
      </c>
      <c r="H170" s="64" t="str">
        <f t="shared" si="75"/>
        <v>Oct</v>
      </c>
      <c r="I170" s="64" t="str">
        <f t="shared" si="76"/>
        <v>10</v>
      </c>
      <c r="J170" s="64">
        <f t="shared" si="74"/>
        <v>2019</v>
      </c>
      <c r="K170" s="23" t="s">
        <v>50</v>
      </c>
      <c r="L170" s="39" t="s">
        <v>82</v>
      </c>
    </row>
    <row r="171" spans="1:13" s="39" customFormat="1" ht="15" customHeight="1" x14ac:dyDescent="0.4">
      <c r="A171" s="23" t="b">
        <f t="shared" ca="1" si="61"/>
        <v>0</v>
      </c>
      <c r="B171" s="37" t="str">
        <f t="array" ref="B171">TEXT(WORKDAY(DATE($B$1,12,21)-1,1,IF('Holiday (Dates to Exclude)'!$D:$D=VLOOKUP($G171,'Holiday (Dates to Exclude)'!$A:$B,2,0),'Holiday (Dates to Exclude)'!$E:$E,)),"MM/DD/YY")</f>
        <v>12/23/19</v>
      </c>
      <c r="C171" s="64" t="str">
        <f t="shared" si="72"/>
        <v>Mon</v>
      </c>
      <c r="D171" s="64" t="str">
        <f t="shared" si="73"/>
        <v>Dec 2019</v>
      </c>
      <c r="E171" s="23" t="s">
        <v>174</v>
      </c>
      <c r="F171" s="67" t="s">
        <v>44</v>
      </c>
      <c r="G171" s="69" t="s">
        <v>146</v>
      </c>
      <c r="H171" s="64" t="str">
        <f t="shared" si="75"/>
        <v>Nov</v>
      </c>
      <c r="I171" s="64" t="str">
        <f t="shared" si="76"/>
        <v>11</v>
      </c>
      <c r="J171" s="64">
        <f t="shared" si="74"/>
        <v>2019</v>
      </c>
      <c r="K171" s="23" t="s">
        <v>50</v>
      </c>
      <c r="L171" s="39" t="s">
        <v>82</v>
      </c>
    </row>
    <row r="172" spans="1:13" s="39" customFormat="1" ht="15" customHeight="1" x14ac:dyDescent="0.4">
      <c r="A172" s="23" t="b">
        <f t="shared" ca="1" si="61"/>
        <v>1</v>
      </c>
      <c r="B172" s="37" t="str">
        <f>TEXT(WORKDAY(DATE($B$1,1,22)-1,1,IF('Holiday (Dates to Exclude)'!$D:$D=VLOOKUP($G172,'Holiday (Dates to Exclude)'!$A:$B,2,0),'Holiday (Dates to Exclude)'!$E:$E,)),"MM/DD/YY")</f>
        <v>01/22/19</v>
      </c>
      <c r="C172" s="64" t="str">
        <f t="shared" ref="C172:C183" si="77">TEXT($B172,"DDD")</f>
        <v>Tue</v>
      </c>
      <c r="D172" s="64" t="str">
        <f t="shared" ref="D172:D183" si="78">TEXT(B172,"MMM YYYY")</f>
        <v>Jan 2019</v>
      </c>
      <c r="E172" s="23" t="s">
        <v>170</v>
      </c>
      <c r="F172" s="23" t="s">
        <v>44</v>
      </c>
      <c r="G172" s="23" t="s">
        <v>160</v>
      </c>
      <c r="H172" s="64" t="str">
        <f>TEXT(EDATE($B172,-1),"MMM")</f>
        <v>Dec</v>
      </c>
      <c r="I172" s="64" t="str">
        <f>TEXT(EOMONTH($B172,-1),"MM")</f>
        <v>12</v>
      </c>
      <c r="J172" s="64">
        <f t="shared" ref="J172:J183" si="79">YEAR(B172)</f>
        <v>2019</v>
      </c>
      <c r="K172" s="23" t="s">
        <v>97</v>
      </c>
      <c r="L172" s="39" t="s">
        <v>82</v>
      </c>
      <c r="M172" s="34"/>
    </row>
    <row r="173" spans="1:13" s="39" customFormat="1" ht="15" customHeight="1" x14ac:dyDescent="0.4">
      <c r="A173" s="23" t="b">
        <f t="shared" ca="1" si="61"/>
        <v>1</v>
      </c>
      <c r="B173" s="37" t="str">
        <f t="array" ref="B173">TEXT(WORKDAY(DATE($B$1,2,22)-1,1,IF('Holiday (Dates to Exclude)'!$D:$D=VLOOKUP($G173,'Holiday (Dates to Exclude)'!$A:$B,2,0),'Holiday (Dates to Exclude)'!$E:$E,)),"MM/DD/YY")</f>
        <v>02/22/19</v>
      </c>
      <c r="C173" s="64" t="str">
        <f t="shared" si="77"/>
        <v>Fri</v>
      </c>
      <c r="D173" s="64" t="str">
        <f t="shared" si="78"/>
        <v>Feb 2019</v>
      </c>
      <c r="E173" s="23" t="s">
        <v>170</v>
      </c>
      <c r="F173" s="23" t="s">
        <v>44</v>
      </c>
      <c r="G173" s="23" t="s">
        <v>160</v>
      </c>
      <c r="H173" s="64" t="str">
        <f t="shared" ref="H173:H183" si="80">TEXT(EDATE($B173,-1),"MMM")</f>
        <v>Jan</v>
      </c>
      <c r="I173" s="64" t="str">
        <f t="shared" ref="I173:I183" si="81">TEXT(EOMONTH($B173,-1),"MM")</f>
        <v>01</v>
      </c>
      <c r="J173" s="64">
        <f t="shared" si="79"/>
        <v>2019</v>
      </c>
      <c r="K173" s="23" t="s">
        <v>97</v>
      </c>
      <c r="L173" s="39" t="s">
        <v>82</v>
      </c>
    </row>
    <row r="174" spans="1:13" s="39" customFormat="1" ht="15" customHeight="1" x14ac:dyDescent="0.4">
      <c r="A174" s="23" t="b">
        <f t="shared" ca="1" si="61"/>
        <v>1</v>
      </c>
      <c r="B174" s="37" t="str">
        <f t="array" ref="B174">TEXT(WORKDAY(DATE($B$1,3,22)-1,1,IF('Holiday (Dates to Exclude)'!$D:$D=VLOOKUP($G174,'Holiday (Dates to Exclude)'!$A:$B,2,0),'Holiday (Dates to Exclude)'!$E:$E,)),"MM/DD/YY")</f>
        <v>03/22/19</v>
      </c>
      <c r="C174" s="64" t="str">
        <f t="shared" si="77"/>
        <v>Fri</v>
      </c>
      <c r="D174" s="64" t="str">
        <f t="shared" si="78"/>
        <v>Mar 2019</v>
      </c>
      <c r="E174" s="23" t="s">
        <v>170</v>
      </c>
      <c r="F174" s="23" t="s">
        <v>44</v>
      </c>
      <c r="G174" s="23" t="s">
        <v>160</v>
      </c>
      <c r="H174" s="64" t="str">
        <f t="shared" si="80"/>
        <v>Feb</v>
      </c>
      <c r="I174" s="64" t="str">
        <f t="shared" si="81"/>
        <v>02</v>
      </c>
      <c r="J174" s="64">
        <f t="shared" si="79"/>
        <v>2019</v>
      </c>
      <c r="K174" s="23" t="s">
        <v>97</v>
      </c>
      <c r="L174" s="39" t="s">
        <v>82</v>
      </c>
    </row>
    <row r="175" spans="1:13" s="39" customFormat="1" ht="15" customHeight="1" x14ac:dyDescent="0.4">
      <c r="A175" s="23" t="b">
        <f t="shared" ca="1" si="61"/>
        <v>1</v>
      </c>
      <c r="B175" s="37" t="str">
        <f t="array" ref="B175">TEXT(WORKDAY(DATE($B$1,4,22)-1,1,IF('Holiday (Dates to Exclude)'!$D:$D=VLOOKUP($G175,'Holiday (Dates to Exclude)'!$A:$B,2,0),'Holiday (Dates to Exclude)'!$E:$E,)),"MM/DD/YY")</f>
        <v>04/22/19</v>
      </c>
      <c r="C175" s="64" t="str">
        <f t="shared" si="77"/>
        <v>Mon</v>
      </c>
      <c r="D175" s="64" t="str">
        <f t="shared" si="78"/>
        <v>Apr 2019</v>
      </c>
      <c r="E175" s="23" t="s">
        <v>170</v>
      </c>
      <c r="F175" s="23" t="s">
        <v>44</v>
      </c>
      <c r="G175" s="23" t="s">
        <v>160</v>
      </c>
      <c r="H175" s="64" t="str">
        <f t="shared" si="80"/>
        <v>Mar</v>
      </c>
      <c r="I175" s="64" t="str">
        <f t="shared" si="81"/>
        <v>03</v>
      </c>
      <c r="J175" s="64">
        <f t="shared" si="79"/>
        <v>2019</v>
      </c>
      <c r="K175" s="23" t="s">
        <v>97</v>
      </c>
      <c r="L175" s="39" t="s">
        <v>82</v>
      </c>
    </row>
    <row r="176" spans="1:13" s="39" customFormat="1" ht="15" customHeight="1" x14ac:dyDescent="0.4">
      <c r="A176" s="23" t="b">
        <f t="shared" ca="1" si="61"/>
        <v>1</v>
      </c>
      <c r="B176" s="37" t="str">
        <f t="array" ref="B176">TEXT(WORKDAY(DATE($B$1,5,22)-1,1,IF('Holiday (Dates to Exclude)'!$D:$D=VLOOKUP($G176,'Holiday (Dates to Exclude)'!$A:$B,2,0),'Holiday (Dates to Exclude)'!$E:$E,)),"MM/DD/YY")</f>
        <v>05/22/19</v>
      </c>
      <c r="C176" s="64" t="str">
        <f t="shared" si="77"/>
        <v>Wed</v>
      </c>
      <c r="D176" s="64" t="str">
        <f t="shared" si="78"/>
        <v>May 2019</v>
      </c>
      <c r="E176" s="23" t="s">
        <v>170</v>
      </c>
      <c r="F176" s="23" t="s">
        <v>44</v>
      </c>
      <c r="G176" s="23" t="s">
        <v>160</v>
      </c>
      <c r="H176" s="64" t="str">
        <f t="shared" si="80"/>
        <v>Apr</v>
      </c>
      <c r="I176" s="64" t="str">
        <f t="shared" si="81"/>
        <v>04</v>
      </c>
      <c r="J176" s="64">
        <f t="shared" si="79"/>
        <v>2019</v>
      </c>
      <c r="K176" s="23" t="s">
        <v>97</v>
      </c>
      <c r="L176" s="39" t="s">
        <v>82</v>
      </c>
    </row>
    <row r="177" spans="1:13" s="39" customFormat="1" ht="15" customHeight="1" x14ac:dyDescent="0.4">
      <c r="A177" s="23" t="b">
        <f t="shared" ca="1" si="61"/>
        <v>0</v>
      </c>
      <c r="B177" s="37" t="str">
        <f t="array" ref="B177">TEXT(WORKDAY(DATE($B$1,6,22)-1,1,IF('Holiday (Dates to Exclude)'!$D:$D=VLOOKUP($G177,'Holiday (Dates to Exclude)'!$A:$B,2,0),'Holiday (Dates to Exclude)'!$E:$E,)),"MM/DD/YY")</f>
        <v>06/24/19</v>
      </c>
      <c r="C177" s="64" t="str">
        <f t="shared" si="77"/>
        <v>Mon</v>
      </c>
      <c r="D177" s="64" t="str">
        <f t="shared" si="78"/>
        <v>Jun 2019</v>
      </c>
      <c r="E177" s="23" t="s">
        <v>170</v>
      </c>
      <c r="F177" s="23" t="s">
        <v>44</v>
      </c>
      <c r="G177" s="23" t="s">
        <v>160</v>
      </c>
      <c r="H177" s="64" t="str">
        <f t="shared" si="80"/>
        <v>May</v>
      </c>
      <c r="I177" s="64" t="str">
        <f t="shared" si="81"/>
        <v>05</v>
      </c>
      <c r="J177" s="64">
        <f t="shared" si="79"/>
        <v>2019</v>
      </c>
      <c r="K177" s="23" t="s">
        <v>97</v>
      </c>
      <c r="L177" s="39" t="s">
        <v>82</v>
      </c>
    </row>
    <row r="178" spans="1:13" s="39" customFormat="1" ht="15" customHeight="1" x14ac:dyDescent="0.4">
      <c r="A178" s="23" t="b">
        <f t="shared" ca="1" si="61"/>
        <v>0</v>
      </c>
      <c r="B178" s="37" t="str">
        <f t="array" ref="B178">TEXT(WORKDAY(DATE($B$1,7,22)-1,1,IF('Holiday (Dates to Exclude)'!$D:$D=VLOOKUP($G178,'Holiday (Dates to Exclude)'!$A:$B,2,0),'Holiday (Dates to Exclude)'!$E:$E,)),"MM/DD/YY")</f>
        <v>07/22/19</v>
      </c>
      <c r="C178" s="64" t="str">
        <f t="shared" si="77"/>
        <v>Mon</v>
      </c>
      <c r="D178" s="64" t="str">
        <f t="shared" si="78"/>
        <v>Jul 2019</v>
      </c>
      <c r="E178" s="23" t="s">
        <v>170</v>
      </c>
      <c r="F178" s="23" t="s">
        <v>44</v>
      </c>
      <c r="G178" s="23" t="s">
        <v>160</v>
      </c>
      <c r="H178" s="64" t="str">
        <f t="shared" si="80"/>
        <v>Jun</v>
      </c>
      <c r="I178" s="64" t="str">
        <f t="shared" si="81"/>
        <v>06</v>
      </c>
      <c r="J178" s="64">
        <f t="shared" si="79"/>
        <v>2019</v>
      </c>
      <c r="K178" s="23" t="s">
        <v>97</v>
      </c>
      <c r="L178" s="39" t="s">
        <v>82</v>
      </c>
      <c r="M178" s="34"/>
    </row>
    <row r="179" spans="1:13" s="39" customFormat="1" ht="15" customHeight="1" x14ac:dyDescent="0.4">
      <c r="A179" s="23" t="b">
        <f t="shared" ca="1" si="61"/>
        <v>0</v>
      </c>
      <c r="B179" s="37" t="str">
        <f t="array" ref="B179">TEXT(WORKDAY(DATE($B$1,8,22)-1,1,IF('Holiday (Dates to Exclude)'!$D:$D=VLOOKUP($G179,'Holiday (Dates to Exclude)'!$A:$B,2,0),'Holiday (Dates to Exclude)'!$E:$E,)),"MM/DD/YY")</f>
        <v>08/22/19</v>
      </c>
      <c r="C179" s="64" t="str">
        <f t="shared" si="77"/>
        <v>Thu</v>
      </c>
      <c r="D179" s="64" t="str">
        <f t="shared" si="78"/>
        <v>Aug 2019</v>
      </c>
      <c r="E179" s="23" t="s">
        <v>170</v>
      </c>
      <c r="F179" s="23" t="s">
        <v>44</v>
      </c>
      <c r="G179" s="23" t="s">
        <v>160</v>
      </c>
      <c r="H179" s="64" t="str">
        <f t="shared" si="80"/>
        <v>Jul</v>
      </c>
      <c r="I179" s="64" t="str">
        <f t="shared" si="81"/>
        <v>07</v>
      </c>
      <c r="J179" s="64">
        <f t="shared" si="79"/>
        <v>2019</v>
      </c>
      <c r="K179" s="23" t="s">
        <v>97</v>
      </c>
      <c r="L179" s="39" t="s">
        <v>82</v>
      </c>
    </row>
    <row r="180" spans="1:13" s="39" customFormat="1" ht="15" customHeight="1" x14ac:dyDescent="0.4">
      <c r="A180" s="23" t="b">
        <f t="shared" ca="1" si="61"/>
        <v>0</v>
      </c>
      <c r="B180" s="37" t="str">
        <f t="array" ref="B180">TEXT(WORKDAY(DATE($B$1,9,22)-1,1,IF('Holiday (Dates to Exclude)'!$D:$D=VLOOKUP($G180,'Holiday (Dates to Exclude)'!$A:$B,2,0),'Holiday (Dates to Exclude)'!$E:$E,)),"MM/DD/YY")</f>
        <v>09/23/19</v>
      </c>
      <c r="C180" s="64" t="str">
        <f t="shared" si="77"/>
        <v>Mon</v>
      </c>
      <c r="D180" s="64" t="str">
        <f t="shared" si="78"/>
        <v>Sep 2019</v>
      </c>
      <c r="E180" s="23" t="s">
        <v>170</v>
      </c>
      <c r="F180" s="23" t="s">
        <v>44</v>
      </c>
      <c r="G180" s="23" t="s">
        <v>160</v>
      </c>
      <c r="H180" s="64" t="str">
        <f t="shared" si="80"/>
        <v>Aug</v>
      </c>
      <c r="I180" s="64" t="str">
        <f t="shared" si="81"/>
        <v>08</v>
      </c>
      <c r="J180" s="64">
        <f t="shared" si="79"/>
        <v>2019</v>
      </c>
      <c r="K180" s="23" t="s">
        <v>97</v>
      </c>
      <c r="L180" s="39" t="s">
        <v>82</v>
      </c>
    </row>
    <row r="181" spans="1:13" s="39" customFormat="1" ht="15" customHeight="1" x14ac:dyDescent="0.4">
      <c r="A181" s="23" t="b">
        <f t="shared" ca="1" si="61"/>
        <v>0</v>
      </c>
      <c r="B181" s="37" t="str">
        <f t="array" ref="B181">TEXT(WORKDAY(DATE($B$1,10,22)-1,1,IF('Holiday (Dates to Exclude)'!$D:$D=VLOOKUP($G181,'Holiday (Dates to Exclude)'!$A:$B,2,0),'Holiday (Dates to Exclude)'!$E:$E,)),"MM/DD/YY")</f>
        <v>10/22/19</v>
      </c>
      <c r="C181" s="64" t="str">
        <f t="shared" si="77"/>
        <v>Tue</v>
      </c>
      <c r="D181" s="64" t="str">
        <f t="shared" si="78"/>
        <v>Oct 2019</v>
      </c>
      <c r="E181" s="23" t="s">
        <v>170</v>
      </c>
      <c r="F181" s="23" t="s">
        <v>44</v>
      </c>
      <c r="G181" s="23" t="s">
        <v>160</v>
      </c>
      <c r="H181" s="64" t="str">
        <f t="shared" si="80"/>
        <v>Sep</v>
      </c>
      <c r="I181" s="64" t="str">
        <f t="shared" si="81"/>
        <v>09</v>
      </c>
      <c r="J181" s="64">
        <f t="shared" si="79"/>
        <v>2019</v>
      </c>
      <c r="K181" s="23" t="s">
        <v>97</v>
      </c>
      <c r="L181" s="39" t="s">
        <v>82</v>
      </c>
    </row>
    <row r="182" spans="1:13" s="39" customFormat="1" ht="15" customHeight="1" x14ac:dyDescent="0.4">
      <c r="A182" s="23" t="b">
        <f t="shared" ca="1" si="61"/>
        <v>0</v>
      </c>
      <c r="B182" s="37" t="str">
        <f t="array" ref="B182">TEXT(WORKDAY(DATE($B$1,11,22)-1,1,IF('Holiday (Dates to Exclude)'!$D:$D=VLOOKUP($G182,'Holiday (Dates to Exclude)'!$A:$B,2,0),'Holiday (Dates to Exclude)'!$E:$E,)),"MM/DD/YY")</f>
        <v>11/22/19</v>
      </c>
      <c r="C182" s="64" t="str">
        <f t="shared" si="77"/>
        <v>Fri</v>
      </c>
      <c r="D182" s="64" t="str">
        <f t="shared" si="78"/>
        <v>Nov 2019</v>
      </c>
      <c r="E182" s="23" t="s">
        <v>170</v>
      </c>
      <c r="F182" s="23" t="s">
        <v>44</v>
      </c>
      <c r="G182" s="23" t="s">
        <v>160</v>
      </c>
      <c r="H182" s="64" t="str">
        <f t="shared" si="80"/>
        <v>Oct</v>
      </c>
      <c r="I182" s="64" t="str">
        <f t="shared" si="81"/>
        <v>10</v>
      </c>
      <c r="J182" s="64">
        <f t="shared" si="79"/>
        <v>2019</v>
      </c>
      <c r="K182" s="23" t="s">
        <v>97</v>
      </c>
      <c r="L182" s="39" t="s">
        <v>82</v>
      </c>
    </row>
    <row r="183" spans="1:13" s="39" customFormat="1" ht="15" customHeight="1" x14ac:dyDescent="0.4">
      <c r="A183" s="23" t="b">
        <f t="shared" ca="1" si="61"/>
        <v>0</v>
      </c>
      <c r="B183" s="37" t="str">
        <f t="array" ref="B183">TEXT(WORKDAY(DATE($B$1,12,22)-1,1,IF('Holiday (Dates to Exclude)'!$D:$D=VLOOKUP($G183,'Holiday (Dates to Exclude)'!$A:$B,2,0),'Holiday (Dates to Exclude)'!$E:$E,)),"MM/DD/YY")</f>
        <v>12/23/19</v>
      </c>
      <c r="C183" s="64" t="str">
        <f t="shared" si="77"/>
        <v>Mon</v>
      </c>
      <c r="D183" s="64" t="str">
        <f t="shared" si="78"/>
        <v>Dec 2019</v>
      </c>
      <c r="E183" s="23" t="s">
        <v>170</v>
      </c>
      <c r="F183" s="23" t="s">
        <v>44</v>
      </c>
      <c r="G183" s="23" t="s">
        <v>160</v>
      </c>
      <c r="H183" s="64" t="str">
        <f t="shared" si="80"/>
        <v>Nov</v>
      </c>
      <c r="I183" s="64" t="str">
        <f t="shared" si="81"/>
        <v>11</v>
      </c>
      <c r="J183" s="64">
        <f t="shared" si="79"/>
        <v>2019</v>
      </c>
      <c r="K183" s="23" t="s">
        <v>97</v>
      </c>
      <c r="L183" s="39" t="s">
        <v>82</v>
      </c>
    </row>
    <row r="184" spans="1:13" s="39" customFormat="1" ht="15" customHeight="1" x14ac:dyDescent="0.4">
      <c r="A184" s="23" t="b">
        <f t="shared" ca="1" si="61"/>
        <v>1</v>
      </c>
      <c r="B184" s="37" t="str">
        <f>TEXT(WORKDAY(DATE($B$1,1,25)-1,1,IF('Holiday (Dates to Exclude)'!$D:$D=VLOOKUP($G184,'Holiday (Dates to Exclude)'!$A:$B,2,0),'Holiday (Dates to Exclude)'!$E:$E,)),"MM/DD/YY")</f>
        <v>01/25/19</v>
      </c>
      <c r="C184" s="64" t="str">
        <f t="shared" ref="C184:C195" si="82">TEXT($B184,"DDD")</f>
        <v>Fri</v>
      </c>
      <c r="D184" s="64" t="str">
        <f t="shared" ref="D184:D195" si="83">TEXT(B184,"MMM YYYY")</f>
        <v>Jan 2019</v>
      </c>
      <c r="E184" s="23" t="s">
        <v>175</v>
      </c>
      <c r="F184" s="23" t="s">
        <v>44</v>
      </c>
      <c r="G184" s="23" t="s">
        <v>153</v>
      </c>
      <c r="H184" s="64" t="str">
        <f>TEXT(EDATE($B184,-2),"MMM")</f>
        <v>Nov</v>
      </c>
      <c r="I184" s="64" t="str">
        <f>TEXT(EOMONTH($B184,-2),"MM")</f>
        <v>11</v>
      </c>
      <c r="J184" s="64">
        <f t="shared" ref="J184:J195" si="84">YEAR(B184)</f>
        <v>2019</v>
      </c>
      <c r="K184" s="23" t="s">
        <v>39</v>
      </c>
      <c r="L184" s="39" t="s">
        <v>82</v>
      </c>
      <c r="M184" s="34"/>
    </row>
    <row r="185" spans="1:13" s="39" customFormat="1" ht="15" customHeight="1" x14ac:dyDescent="0.4">
      <c r="A185" s="23" t="b">
        <f t="shared" ca="1" si="61"/>
        <v>1</v>
      </c>
      <c r="B185" s="37" t="str">
        <f t="array" ref="B185">TEXT(WORKDAY(DATE($B$1,2,25)-1,1,IF('Holiday (Dates to Exclude)'!$D:$D=VLOOKUP($G185,'Holiday (Dates to Exclude)'!$A:$B,2,0),'Holiday (Dates to Exclude)'!$E:$E,)),"MM/DD/YY")</f>
        <v>02/25/19</v>
      </c>
      <c r="C185" s="64" t="str">
        <f t="shared" si="82"/>
        <v>Mon</v>
      </c>
      <c r="D185" s="64" t="str">
        <f t="shared" si="83"/>
        <v>Feb 2019</v>
      </c>
      <c r="E185" s="23" t="s">
        <v>175</v>
      </c>
      <c r="F185" s="23" t="s">
        <v>44</v>
      </c>
      <c r="G185" s="23" t="s">
        <v>153</v>
      </c>
      <c r="H185" s="64" t="str">
        <f t="shared" ref="H185:H195" si="85">TEXT(EDATE($B185,-2),"MMM")</f>
        <v>Dec</v>
      </c>
      <c r="I185" s="64" t="str">
        <f t="shared" ref="I185:I195" si="86">TEXT(EOMONTH($B185,-2),"MM")</f>
        <v>12</v>
      </c>
      <c r="J185" s="64">
        <f t="shared" si="84"/>
        <v>2019</v>
      </c>
      <c r="K185" s="23" t="s">
        <v>39</v>
      </c>
      <c r="L185" s="39" t="s">
        <v>82</v>
      </c>
    </row>
    <row r="186" spans="1:13" s="39" customFormat="1" ht="15" customHeight="1" x14ac:dyDescent="0.4">
      <c r="A186" s="23" t="b">
        <f t="shared" ca="1" si="61"/>
        <v>1</v>
      </c>
      <c r="B186" s="37" t="str">
        <f t="array" ref="B186">TEXT(WORKDAY(DATE($B$1,3,25)-1,1,IF('Holiday (Dates to Exclude)'!$D:$D=VLOOKUP($G186,'Holiday (Dates to Exclude)'!$A:$B,2,0),'Holiday (Dates to Exclude)'!$E:$E,)),"MM/DD/YY")</f>
        <v>03/25/19</v>
      </c>
      <c r="C186" s="64" t="str">
        <f t="shared" si="82"/>
        <v>Mon</v>
      </c>
      <c r="D186" s="64" t="str">
        <f t="shared" si="83"/>
        <v>Mar 2019</v>
      </c>
      <c r="E186" s="23" t="s">
        <v>175</v>
      </c>
      <c r="F186" s="23" t="s">
        <v>44</v>
      </c>
      <c r="G186" s="23" t="s">
        <v>153</v>
      </c>
      <c r="H186" s="64" t="str">
        <f t="shared" si="85"/>
        <v>Jan</v>
      </c>
      <c r="I186" s="64" t="str">
        <f t="shared" si="86"/>
        <v>01</v>
      </c>
      <c r="J186" s="64">
        <f t="shared" si="84"/>
        <v>2019</v>
      </c>
      <c r="K186" s="23" t="s">
        <v>39</v>
      </c>
      <c r="L186" s="39" t="s">
        <v>82</v>
      </c>
    </row>
    <row r="187" spans="1:13" s="39" customFormat="1" ht="15" customHeight="1" x14ac:dyDescent="0.4">
      <c r="A187" s="23" t="b">
        <f t="shared" ca="1" si="61"/>
        <v>1</v>
      </c>
      <c r="B187" s="37" t="str">
        <f t="array" ref="B187">TEXT(WORKDAY(DATE($B$1,4,25)-1,1,IF('Holiday (Dates to Exclude)'!$D:$D=VLOOKUP($G187,'Holiday (Dates to Exclude)'!$A:$B,2,0),'Holiday (Dates to Exclude)'!$E:$E,)),"MM/DD/YY")</f>
        <v>04/25/19</v>
      </c>
      <c r="C187" s="64" t="str">
        <f t="shared" si="82"/>
        <v>Thu</v>
      </c>
      <c r="D187" s="64" t="str">
        <f t="shared" si="83"/>
        <v>Apr 2019</v>
      </c>
      <c r="E187" s="23" t="s">
        <v>175</v>
      </c>
      <c r="F187" s="23" t="s">
        <v>44</v>
      </c>
      <c r="G187" s="23" t="s">
        <v>153</v>
      </c>
      <c r="H187" s="64" t="str">
        <f t="shared" si="85"/>
        <v>Feb</v>
      </c>
      <c r="I187" s="64" t="str">
        <f t="shared" si="86"/>
        <v>02</v>
      </c>
      <c r="J187" s="64">
        <f t="shared" si="84"/>
        <v>2019</v>
      </c>
      <c r="K187" s="23" t="s">
        <v>39</v>
      </c>
      <c r="L187" s="39" t="s">
        <v>82</v>
      </c>
    </row>
    <row r="188" spans="1:13" s="39" customFormat="1" ht="15" customHeight="1" x14ac:dyDescent="0.4">
      <c r="A188" s="23" t="b">
        <f t="shared" ca="1" si="61"/>
        <v>1</v>
      </c>
      <c r="B188" s="37" t="str">
        <f t="array" ref="B188">TEXT(WORKDAY(DATE($B$1,5,25)-1,1,IF('Holiday (Dates to Exclude)'!$D:$D=VLOOKUP($G188,'Holiday (Dates to Exclude)'!$A:$B,2,0),'Holiday (Dates to Exclude)'!$E:$E,)),"MM/DD/YY")</f>
        <v>05/27/19</v>
      </c>
      <c r="C188" s="64" t="str">
        <f t="shared" si="82"/>
        <v>Mon</v>
      </c>
      <c r="D188" s="64" t="str">
        <f t="shared" si="83"/>
        <v>May 2019</v>
      </c>
      <c r="E188" s="23" t="s">
        <v>175</v>
      </c>
      <c r="F188" s="23" t="s">
        <v>44</v>
      </c>
      <c r="G188" s="23" t="s">
        <v>153</v>
      </c>
      <c r="H188" s="64" t="str">
        <f t="shared" si="85"/>
        <v>Mar</v>
      </c>
      <c r="I188" s="64" t="str">
        <f t="shared" si="86"/>
        <v>03</v>
      </c>
      <c r="J188" s="64">
        <f t="shared" si="84"/>
        <v>2019</v>
      </c>
      <c r="K188" s="23" t="s">
        <v>39</v>
      </c>
      <c r="L188" s="39" t="s">
        <v>82</v>
      </c>
    </row>
    <row r="189" spans="1:13" s="39" customFormat="1" ht="15" customHeight="1" x14ac:dyDescent="0.4">
      <c r="A189" s="23" t="b">
        <f t="shared" ca="1" si="61"/>
        <v>0</v>
      </c>
      <c r="B189" s="37" t="str">
        <f t="array" ref="B189">TEXT(WORKDAY(DATE($B$1,6,25)-1,1,IF('Holiday (Dates to Exclude)'!$D:$D=VLOOKUP($G189,'Holiday (Dates to Exclude)'!$A:$B,2,0),'Holiday (Dates to Exclude)'!$E:$E,)),"MM/DD/YY")</f>
        <v>06/25/19</v>
      </c>
      <c r="C189" s="64" t="str">
        <f t="shared" si="82"/>
        <v>Tue</v>
      </c>
      <c r="D189" s="64" t="str">
        <f t="shared" si="83"/>
        <v>Jun 2019</v>
      </c>
      <c r="E189" s="23" t="s">
        <v>175</v>
      </c>
      <c r="F189" s="23" t="s">
        <v>44</v>
      </c>
      <c r="G189" s="23" t="s">
        <v>153</v>
      </c>
      <c r="H189" s="64" t="str">
        <f t="shared" si="85"/>
        <v>Apr</v>
      </c>
      <c r="I189" s="64" t="str">
        <f t="shared" si="86"/>
        <v>04</v>
      </c>
      <c r="J189" s="64">
        <f t="shared" si="84"/>
        <v>2019</v>
      </c>
      <c r="K189" s="23" t="s">
        <v>39</v>
      </c>
      <c r="L189" s="39" t="s">
        <v>82</v>
      </c>
    </row>
    <row r="190" spans="1:13" s="39" customFormat="1" ht="15" customHeight="1" x14ac:dyDescent="0.4">
      <c r="A190" s="23" t="b">
        <f t="shared" ca="1" si="61"/>
        <v>0</v>
      </c>
      <c r="B190" s="37" t="str">
        <f t="array" ref="B190">TEXT(WORKDAY(DATE($B$1,7,25)-1,1,IF('Holiday (Dates to Exclude)'!$D:$D=VLOOKUP($G190,'Holiday (Dates to Exclude)'!$A:$B,2,0),'Holiday (Dates to Exclude)'!$E:$E,)),"MM/DD/YY")</f>
        <v>07/25/19</v>
      </c>
      <c r="C190" s="64" t="str">
        <f t="shared" si="82"/>
        <v>Thu</v>
      </c>
      <c r="D190" s="64" t="str">
        <f t="shared" si="83"/>
        <v>Jul 2019</v>
      </c>
      <c r="E190" s="23" t="s">
        <v>175</v>
      </c>
      <c r="F190" s="23" t="s">
        <v>44</v>
      </c>
      <c r="G190" s="23" t="s">
        <v>153</v>
      </c>
      <c r="H190" s="64" t="str">
        <f t="shared" si="85"/>
        <v>May</v>
      </c>
      <c r="I190" s="64" t="str">
        <f t="shared" si="86"/>
        <v>05</v>
      </c>
      <c r="J190" s="64">
        <f t="shared" si="84"/>
        <v>2019</v>
      </c>
      <c r="K190" s="23" t="s">
        <v>39</v>
      </c>
      <c r="L190" s="39" t="s">
        <v>82</v>
      </c>
      <c r="M190" s="34"/>
    </row>
    <row r="191" spans="1:13" s="39" customFormat="1" ht="15" customHeight="1" x14ac:dyDescent="0.4">
      <c r="A191" s="23" t="b">
        <f t="shared" ca="1" si="61"/>
        <v>0</v>
      </c>
      <c r="B191" s="37" t="str">
        <f t="array" ref="B191">TEXT(WORKDAY(DATE($B$1,8,25)-1,1,IF('Holiday (Dates to Exclude)'!$D:$D=VLOOKUP($G191,'Holiday (Dates to Exclude)'!$A:$B,2,0),'Holiday (Dates to Exclude)'!$E:$E,)),"MM/DD/YY")</f>
        <v>08/26/19</v>
      </c>
      <c r="C191" s="64" t="str">
        <f t="shared" si="82"/>
        <v>Mon</v>
      </c>
      <c r="D191" s="64" t="str">
        <f t="shared" si="83"/>
        <v>Aug 2019</v>
      </c>
      <c r="E191" s="23" t="s">
        <v>175</v>
      </c>
      <c r="F191" s="23" t="s">
        <v>44</v>
      </c>
      <c r="G191" s="23" t="s">
        <v>153</v>
      </c>
      <c r="H191" s="64" t="str">
        <f t="shared" si="85"/>
        <v>Jun</v>
      </c>
      <c r="I191" s="64" t="str">
        <f t="shared" si="86"/>
        <v>06</v>
      </c>
      <c r="J191" s="64">
        <f t="shared" si="84"/>
        <v>2019</v>
      </c>
      <c r="K191" s="23" t="s">
        <v>39</v>
      </c>
      <c r="L191" s="39" t="s">
        <v>82</v>
      </c>
    </row>
    <row r="192" spans="1:13" s="39" customFormat="1" ht="15" customHeight="1" x14ac:dyDescent="0.4">
      <c r="A192" s="23" t="b">
        <f t="shared" ca="1" si="61"/>
        <v>0</v>
      </c>
      <c r="B192" s="37" t="str">
        <f t="array" ref="B192">TEXT(WORKDAY(DATE($B$1,9,25)-1,1,IF('Holiday (Dates to Exclude)'!$D:$D=VLOOKUP($G192,'Holiday (Dates to Exclude)'!$A:$B,2,0),'Holiday (Dates to Exclude)'!$E:$E,)),"MM/DD/YY")</f>
        <v>09/25/19</v>
      </c>
      <c r="C192" s="64" t="str">
        <f t="shared" si="82"/>
        <v>Wed</v>
      </c>
      <c r="D192" s="64" t="str">
        <f t="shared" si="83"/>
        <v>Sep 2019</v>
      </c>
      <c r="E192" s="23" t="s">
        <v>175</v>
      </c>
      <c r="F192" s="23" t="s">
        <v>44</v>
      </c>
      <c r="G192" s="23" t="s">
        <v>153</v>
      </c>
      <c r="H192" s="64" t="str">
        <f t="shared" si="85"/>
        <v>Jul</v>
      </c>
      <c r="I192" s="64" t="str">
        <f t="shared" si="86"/>
        <v>07</v>
      </c>
      <c r="J192" s="64">
        <f t="shared" si="84"/>
        <v>2019</v>
      </c>
      <c r="K192" s="23" t="s">
        <v>39</v>
      </c>
      <c r="L192" s="39" t="s">
        <v>82</v>
      </c>
    </row>
    <row r="193" spans="1:13" s="39" customFormat="1" ht="15" customHeight="1" x14ac:dyDescent="0.4">
      <c r="A193" s="23" t="b">
        <f t="shared" ca="1" si="61"/>
        <v>0</v>
      </c>
      <c r="B193" s="37" t="str">
        <f t="array" ref="B193">TEXT(WORKDAY(DATE($B$1,10,25)-1,1,IF('Holiday (Dates to Exclude)'!$D:$D=VLOOKUP($G193,'Holiday (Dates to Exclude)'!$A:$B,2,0),'Holiday (Dates to Exclude)'!$E:$E,)),"MM/DD/YY")</f>
        <v>10/25/19</v>
      </c>
      <c r="C193" s="64" t="str">
        <f t="shared" si="82"/>
        <v>Fri</v>
      </c>
      <c r="D193" s="64" t="str">
        <f t="shared" si="83"/>
        <v>Oct 2019</v>
      </c>
      <c r="E193" s="23" t="s">
        <v>175</v>
      </c>
      <c r="F193" s="23" t="s">
        <v>44</v>
      </c>
      <c r="G193" s="23" t="s">
        <v>153</v>
      </c>
      <c r="H193" s="64" t="str">
        <f t="shared" si="85"/>
        <v>Aug</v>
      </c>
      <c r="I193" s="64" t="str">
        <f t="shared" si="86"/>
        <v>08</v>
      </c>
      <c r="J193" s="64">
        <f t="shared" si="84"/>
        <v>2019</v>
      </c>
      <c r="K193" s="23" t="s">
        <v>39</v>
      </c>
      <c r="L193" s="39" t="s">
        <v>82</v>
      </c>
    </row>
    <row r="194" spans="1:13" s="39" customFormat="1" ht="15" customHeight="1" x14ac:dyDescent="0.4">
      <c r="A194" s="23" t="b">
        <f t="shared" ca="1" si="61"/>
        <v>0</v>
      </c>
      <c r="B194" s="37" t="str">
        <f t="array" ref="B194">TEXT(WORKDAY(DATE($B$1,11,25)-1,1,IF('Holiday (Dates to Exclude)'!$D:$D=VLOOKUP($G194,'Holiday (Dates to Exclude)'!$A:$B,2,0),'Holiday (Dates to Exclude)'!$E:$E,)),"MM/DD/YY")</f>
        <v>11/25/19</v>
      </c>
      <c r="C194" s="64" t="str">
        <f t="shared" si="82"/>
        <v>Mon</v>
      </c>
      <c r="D194" s="64" t="str">
        <f t="shared" si="83"/>
        <v>Nov 2019</v>
      </c>
      <c r="E194" s="23" t="s">
        <v>175</v>
      </c>
      <c r="F194" s="23" t="s">
        <v>44</v>
      </c>
      <c r="G194" s="23" t="s">
        <v>153</v>
      </c>
      <c r="H194" s="64" t="str">
        <f t="shared" si="85"/>
        <v>Sep</v>
      </c>
      <c r="I194" s="64" t="str">
        <f t="shared" si="86"/>
        <v>09</v>
      </c>
      <c r="J194" s="64">
        <f t="shared" si="84"/>
        <v>2019</v>
      </c>
      <c r="K194" s="23" t="s">
        <v>39</v>
      </c>
      <c r="L194" s="39" t="s">
        <v>82</v>
      </c>
    </row>
    <row r="195" spans="1:13" s="39" customFormat="1" ht="15" customHeight="1" x14ac:dyDescent="0.4">
      <c r="A195" s="23" t="b">
        <f t="shared" ca="1" si="61"/>
        <v>0</v>
      </c>
      <c r="B195" s="37" t="str">
        <f t="array" ref="B195">TEXT(WORKDAY(DATE($B$1,12,25)-1,1,IF('Holiday (Dates to Exclude)'!$D:$D=VLOOKUP($G195,'Holiday (Dates to Exclude)'!$A:$B,2,0),'Holiday (Dates to Exclude)'!$E:$E,)),"MM/DD/YY")</f>
        <v>12/25/19</v>
      </c>
      <c r="C195" s="64" t="str">
        <f t="shared" si="82"/>
        <v>Wed</v>
      </c>
      <c r="D195" s="64" t="str">
        <f t="shared" si="83"/>
        <v>Dec 2019</v>
      </c>
      <c r="E195" s="23" t="s">
        <v>175</v>
      </c>
      <c r="F195" s="23" t="s">
        <v>44</v>
      </c>
      <c r="G195" s="23" t="s">
        <v>153</v>
      </c>
      <c r="H195" s="64" t="str">
        <f t="shared" si="85"/>
        <v>Oct</v>
      </c>
      <c r="I195" s="64" t="str">
        <f t="shared" si="86"/>
        <v>10</v>
      </c>
      <c r="J195" s="64">
        <f t="shared" si="84"/>
        <v>2019</v>
      </c>
      <c r="K195" s="23" t="s">
        <v>39</v>
      </c>
      <c r="L195" s="39" t="s">
        <v>82</v>
      </c>
    </row>
    <row r="196" spans="1:13" s="39" customFormat="1" ht="15" customHeight="1" x14ac:dyDescent="0.4">
      <c r="A196" s="23" t="b">
        <f t="shared" ca="1" si="61"/>
        <v>1</v>
      </c>
      <c r="B196" s="37" t="str">
        <f>TEXT(WORKDAY(DATE($B$1,1,8)-1,1,IF('Holiday (Dates to Exclude)'!$D:$D=VLOOKUP($G196,'Holiday (Dates to Exclude)'!$A:$B,2,0),'Holiday (Dates to Exclude)'!$E:$E,)),"MM/DD/YY")</f>
        <v>01/08/19</v>
      </c>
      <c r="C196" s="64" t="str">
        <f t="shared" ref="C196:C207" si="87">TEXT($B196,"DDD")</f>
        <v>Tue</v>
      </c>
      <c r="D196" s="64" t="str">
        <f t="shared" ref="D196:D207" si="88">TEXT(B196,"MMM YYYY")</f>
        <v>Jan 2019</v>
      </c>
      <c r="E196" s="67" t="s">
        <v>176</v>
      </c>
      <c r="F196" s="67" t="s">
        <v>44</v>
      </c>
      <c r="G196" s="23" t="s">
        <v>162</v>
      </c>
      <c r="H196" s="23" t="s">
        <v>68</v>
      </c>
      <c r="I196" s="23" t="s">
        <v>69</v>
      </c>
      <c r="J196" s="64">
        <f t="shared" ref="J196:J207" si="89">YEAR(B196)</f>
        <v>2019</v>
      </c>
      <c r="K196" s="23" t="s">
        <v>73</v>
      </c>
      <c r="M196" s="34"/>
    </row>
    <row r="197" spans="1:13" s="39" customFormat="1" ht="15" customHeight="1" x14ac:dyDescent="0.4">
      <c r="A197" s="23" t="b">
        <f t="shared" ref="A197:A231" ca="1" si="90">TODAY()&gt;=DATE(YEAR(B197),MONTH(B197),DAY(B197))</f>
        <v>1</v>
      </c>
      <c r="B197" s="37" t="str">
        <f t="array" ref="B197">TEXT(WORKDAY(DATE($B$1,2,8)-1,1,IF('Holiday (Dates to Exclude)'!$D:$D=VLOOKUP($G197,'Holiday (Dates to Exclude)'!$A:$B,2,0),'Holiday (Dates to Exclude)'!$E:$E,)),"MM/DD/YY")</f>
        <v>02/08/19</v>
      </c>
      <c r="C197" s="64" t="str">
        <f t="shared" si="87"/>
        <v>Fri</v>
      </c>
      <c r="D197" s="64" t="str">
        <f t="shared" si="88"/>
        <v>Feb 2019</v>
      </c>
      <c r="E197" s="67" t="s">
        <v>176</v>
      </c>
      <c r="F197" s="67" t="s">
        <v>44</v>
      </c>
      <c r="G197" s="23" t="s">
        <v>162</v>
      </c>
      <c r="H197" s="23" t="s">
        <v>68</v>
      </c>
      <c r="I197" s="23" t="s">
        <v>69</v>
      </c>
      <c r="J197" s="64">
        <f t="shared" si="89"/>
        <v>2019</v>
      </c>
      <c r="K197" s="23" t="s">
        <v>73</v>
      </c>
    </row>
    <row r="198" spans="1:13" s="39" customFormat="1" ht="15" customHeight="1" x14ac:dyDescent="0.4">
      <c r="A198" s="23" t="b">
        <f t="shared" ca="1" si="90"/>
        <v>1</v>
      </c>
      <c r="B198" s="37" t="str">
        <f t="array" ref="B198">TEXT(WORKDAY(DATE($B$1,3,8)-1,1,IF('Holiday (Dates to Exclude)'!$D:$D=VLOOKUP($G198,'Holiday (Dates to Exclude)'!$A:$B,2,0),'Holiday (Dates to Exclude)'!$E:$E,)),"MM/DD/YY")</f>
        <v>03/08/19</v>
      </c>
      <c r="C198" s="64" t="str">
        <f t="shared" si="87"/>
        <v>Fri</v>
      </c>
      <c r="D198" s="64" t="str">
        <f t="shared" si="88"/>
        <v>Mar 2019</v>
      </c>
      <c r="E198" s="67" t="s">
        <v>176</v>
      </c>
      <c r="F198" s="67" t="s">
        <v>44</v>
      </c>
      <c r="G198" s="23" t="s">
        <v>162</v>
      </c>
      <c r="H198" s="23" t="s">
        <v>68</v>
      </c>
      <c r="I198" s="23" t="s">
        <v>69</v>
      </c>
      <c r="J198" s="64">
        <f t="shared" si="89"/>
        <v>2019</v>
      </c>
      <c r="K198" s="23" t="s">
        <v>73</v>
      </c>
    </row>
    <row r="199" spans="1:13" s="39" customFormat="1" ht="15" customHeight="1" x14ac:dyDescent="0.4">
      <c r="A199" s="23" t="b">
        <f t="shared" ca="1" si="90"/>
        <v>1</v>
      </c>
      <c r="B199" s="37" t="str">
        <f t="array" ref="B199">TEXT(WORKDAY(DATE($B$1,4,8)-1,1,IF('Holiday (Dates to Exclude)'!$D:$D=VLOOKUP($G199,'Holiday (Dates to Exclude)'!$A:$B,2,0),'Holiday (Dates to Exclude)'!$E:$E,)),"MM/DD/YY")</f>
        <v>04/08/19</v>
      </c>
      <c r="C199" s="64" t="str">
        <f t="shared" si="87"/>
        <v>Mon</v>
      </c>
      <c r="D199" s="64" t="str">
        <f t="shared" si="88"/>
        <v>Apr 2019</v>
      </c>
      <c r="E199" s="67" t="s">
        <v>176</v>
      </c>
      <c r="F199" s="67" t="s">
        <v>44</v>
      </c>
      <c r="G199" s="23" t="s">
        <v>162</v>
      </c>
      <c r="H199" s="23" t="s">
        <v>68</v>
      </c>
      <c r="I199" s="23" t="s">
        <v>69</v>
      </c>
      <c r="J199" s="64">
        <f t="shared" si="89"/>
        <v>2019</v>
      </c>
      <c r="K199" s="23" t="s">
        <v>73</v>
      </c>
    </row>
    <row r="200" spans="1:13" s="39" customFormat="1" ht="15" customHeight="1" x14ac:dyDescent="0.4">
      <c r="A200" s="23" t="b">
        <f t="shared" ca="1" si="90"/>
        <v>1</v>
      </c>
      <c r="B200" s="37" t="str">
        <f t="array" ref="B200">TEXT(WORKDAY(DATE($B$1,5,8)-1,1,IF('Holiday (Dates to Exclude)'!$D:$D=VLOOKUP($G200,'Holiday (Dates to Exclude)'!$A:$B,2,0),'Holiday (Dates to Exclude)'!$E:$E,)),"MM/DD/YY")</f>
        <v>05/08/19</v>
      </c>
      <c r="C200" s="64" t="str">
        <f t="shared" si="87"/>
        <v>Wed</v>
      </c>
      <c r="D200" s="64" t="str">
        <f t="shared" si="88"/>
        <v>May 2019</v>
      </c>
      <c r="E200" s="67" t="s">
        <v>176</v>
      </c>
      <c r="F200" s="67" t="s">
        <v>44</v>
      </c>
      <c r="G200" s="23" t="s">
        <v>162</v>
      </c>
      <c r="H200" s="23" t="s">
        <v>68</v>
      </c>
      <c r="I200" s="23" t="s">
        <v>69</v>
      </c>
      <c r="J200" s="64">
        <f t="shared" si="89"/>
        <v>2019</v>
      </c>
      <c r="K200" s="23" t="s">
        <v>73</v>
      </c>
    </row>
    <row r="201" spans="1:13" s="39" customFormat="1" ht="15" customHeight="1" x14ac:dyDescent="0.4">
      <c r="A201" s="23" t="b">
        <f t="shared" ca="1" si="90"/>
        <v>0</v>
      </c>
      <c r="B201" s="37" t="str">
        <f t="array" ref="B201">TEXT(WORKDAY(DATE($B$1,6,8)-1,1,IF('Holiday (Dates to Exclude)'!$D:$D=VLOOKUP($G201,'Holiday (Dates to Exclude)'!$A:$B,2,0),'Holiday (Dates to Exclude)'!$E:$E,)),"MM/DD/YY")</f>
        <v>06/10/19</v>
      </c>
      <c r="C201" s="64" t="str">
        <f t="shared" si="87"/>
        <v>Mon</v>
      </c>
      <c r="D201" s="64" t="str">
        <f t="shared" si="88"/>
        <v>Jun 2019</v>
      </c>
      <c r="E201" s="67" t="s">
        <v>176</v>
      </c>
      <c r="F201" s="67" t="s">
        <v>44</v>
      </c>
      <c r="G201" s="23" t="s">
        <v>162</v>
      </c>
      <c r="H201" s="23" t="s">
        <v>68</v>
      </c>
      <c r="I201" s="23" t="s">
        <v>69</v>
      </c>
      <c r="J201" s="64">
        <f t="shared" si="89"/>
        <v>2019</v>
      </c>
      <c r="K201" s="23" t="s">
        <v>73</v>
      </c>
    </row>
    <row r="202" spans="1:13" s="39" customFormat="1" ht="15" customHeight="1" x14ac:dyDescent="0.4">
      <c r="A202" s="23" t="b">
        <f t="shared" ca="1" si="90"/>
        <v>0</v>
      </c>
      <c r="B202" s="37" t="str">
        <f t="array" ref="B202">TEXT(WORKDAY(DATE($B$1,7,8)-1,1,IF('Holiday (Dates to Exclude)'!$D:$D=VLOOKUP($G202,'Holiday (Dates to Exclude)'!$A:$B,2,0),'Holiday (Dates to Exclude)'!$E:$E,)),"MM/DD/YY")</f>
        <v>07/08/19</v>
      </c>
      <c r="C202" s="64" t="str">
        <f t="shared" si="87"/>
        <v>Mon</v>
      </c>
      <c r="D202" s="64" t="str">
        <f t="shared" si="88"/>
        <v>Jul 2019</v>
      </c>
      <c r="E202" s="67" t="s">
        <v>176</v>
      </c>
      <c r="F202" s="67" t="s">
        <v>44</v>
      </c>
      <c r="G202" s="23" t="s">
        <v>162</v>
      </c>
      <c r="H202" s="23" t="s">
        <v>68</v>
      </c>
      <c r="I202" s="23" t="s">
        <v>69</v>
      </c>
      <c r="J202" s="64">
        <f t="shared" si="89"/>
        <v>2019</v>
      </c>
      <c r="K202" s="23" t="s">
        <v>73</v>
      </c>
      <c r="M202" s="34"/>
    </row>
    <row r="203" spans="1:13" s="39" customFormat="1" ht="15" customHeight="1" x14ac:dyDescent="0.4">
      <c r="A203" s="23" t="b">
        <f t="shared" ca="1" si="90"/>
        <v>0</v>
      </c>
      <c r="B203" s="37" t="str">
        <f t="array" ref="B203">TEXT(WORKDAY(DATE($B$1,8,8)-1,1,IF('Holiday (Dates to Exclude)'!$D:$D=VLOOKUP($G203,'Holiday (Dates to Exclude)'!$A:$B,2,0),'Holiday (Dates to Exclude)'!$E:$E,)),"MM/DD/YY")</f>
        <v>08/08/19</v>
      </c>
      <c r="C203" s="64" t="str">
        <f t="shared" si="87"/>
        <v>Thu</v>
      </c>
      <c r="D203" s="64" t="str">
        <f t="shared" si="88"/>
        <v>Aug 2019</v>
      </c>
      <c r="E203" s="67" t="s">
        <v>176</v>
      </c>
      <c r="F203" s="67" t="s">
        <v>44</v>
      </c>
      <c r="G203" s="23" t="s">
        <v>162</v>
      </c>
      <c r="H203" s="23" t="s">
        <v>68</v>
      </c>
      <c r="I203" s="23" t="s">
        <v>69</v>
      </c>
      <c r="J203" s="64">
        <f t="shared" si="89"/>
        <v>2019</v>
      </c>
      <c r="K203" s="23" t="s">
        <v>73</v>
      </c>
    </row>
    <row r="204" spans="1:13" s="39" customFormat="1" ht="15" customHeight="1" x14ac:dyDescent="0.4">
      <c r="A204" s="23" t="b">
        <f t="shared" ca="1" si="90"/>
        <v>0</v>
      </c>
      <c r="B204" s="37" t="str">
        <f t="array" ref="B204">TEXT(WORKDAY(DATE($B$1,9,8)-1,1,IF('Holiday (Dates to Exclude)'!$D:$D=VLOOKUP($G204,'Holiday (Dates to Exclude)'!$A:$B,2,0),'Holiday (Dates to Exclude)'!$E:$E,)),"MM/DD/YY")</f>
        <v>09/09/19</v>
      </c>
      <c r="C204" s="64" t="str">
        <f t="shared" si="87"/>
        <v>Mon</v>
      </c>
      <c r="D204" s="64" t="str">
        <f t="shared" si="88"/>
        <v>Sep 2019</v>
      </c>
      <c r="E204" s="67" t="s">
        <v>176</v>
      </c>
      <c r="F204" s="67" t="s">
        <v>44</v>
      </c>
      <c r="G204" s="23" t="s">
        <v>162</v>
      </c>
      <c r="H204" s="23" t="s">
        <v>68</v>
      </c>
      <c r="I204" s="23" t="s">
        <v>69</v>
      </c>
      <c r="J204" s="64">
        <f t="shared" si="89"/>
        <v>2019</v>
      </c>
      <c r="K204" s="23" t="s">
        <v>73</v>
      </c>
    </row>
    <row r="205" spans="1:13" s="39" customFormat="1" ht="15" customHeight="1" x14ac:dyDescent="0.4">
      <c r="A205" s="23" t="b">
        <f t="shared" ca="1" si="90"/>
        <v>0</v>
      </c>
      <c r="B205" s="37" t="str">
        <f t="array" ref="B205">TEXT(WORKDAY(DATE($B$1,10,8)-1,1,IF('Holiday (Dates to Exclude)'!$D:$D=VLOOKUP($G205,'Holiday (Dates to Exclude)'!$A:$B,2,0),'Holiday (Dates to Exclude)'!$E:$E,)),"MM/DD/YY")</f>
        <v>10/08/19</v>
      </c>
      <c r="C205" s="64" t="str">
        <f t="shared" si="87"/>
        <v>Tue</v>
      </c>
      <c r="D205" s="64" t="str">
        <f t="shared" si="88"/>
        <v>Oct 2019</v>
      </c>
      <c r="E205" s="67" t="s">
        <v>176</v>
      </c>
      <c r="F205" s="67" t="s">
        <v>44</v>
      </c>
      <c r="G205" s="23" t="s">
        <v>162</v>
      </c>
      <c r="H205" s="23" t="s">
        <v>68</v>
      </c>
      <c r="I205" s="23" t="s">
        <v>69</v>
      </c>
      <c r="J205" s="64">
        <f t="shared" si="89"/>
        <v>2019</v>
      </c>
      <c r="K205" s="23" t="s">
        <v>73</v>
      </c>
    </row>
    <row r="206" spans="1:13" s="39" customFormat="1" ht="15" customHeight="1" x14ac:dyDescent="0.4">
      <c r="A206" s="23" t="b">
        <f t="shared" ca="1" si="90"/>
        <v>0</v>
      </c>
      <c r="B206" s="37" t="str">
        <f t="array" ref="B206">TEXT(WORKDAY(DATE($B$1,11,8)-1,1,IF('Holiday (Dates to Exclude)'!$D:$D=VLOOKUP($G206,'Holiday (Dates to Exclude)'!$A:$B,2,0),'Holiday (Dates to Exclude)'!$E:$E,)),"MM/DD/YY")</f>
        <v>11/08/19</v>
      </c>
      <c r="C206" s="64" t="str">
        <f t="shared" si="87"/>
        <v>Fri</v>
      </c>
      <c r="D206" s="64" t="str">
        <f t="shared" si="88"/>
        <v>Nov 2019</v>
      </c>
      <c r="E206" s="67" t="s">
        <v>176</v>
      </c>
      <c r="F206" s="67" t="s">
        <v>44</v>
      </c>
      <c r="G206" s="23" t="s">
        <v>162</v>
      </c>
      <c r="H206" s="23" t="s">
        <v>68</v>
      </c>
      <c r="I206" s="23" t="s">
        <v>69</v>
      </c>
      <c r="J206" s="64">
        <f t="shared" si="89"/>
        <v>2019</v>
      </c>
      <c r="K206" s="23" t="s">
        <v>73</v>
      </c>
    </row>
    <row r="207" spans="1:13" s="39" customFormat="1" ht="15" customHeight="1" x14ac:dyDescent="0.4">
      <c r="A207" s="23" t="b">
        <f t="shared" ca="1" si="90"/>
        <v>0</v>
      </c>
      <c r="B207" s="37" t="str">
        <f t="array" ref="B207">TEXT(WORKDAY(DATE($B$1,12,8)-1,1,IF('Holiday (Dates to Exclude)'!$D:$D=VLOOKUP($G207,'Holiday (Dates to Exclude)'!$A:$B,2,0),'Holiday (Dates to Exclude)'!$E:$E,)),"MM/DD/YY")</f>
        <v>12/09/19</v>
      </c>
      <c r="C207" s="64" t="str">
        <f t="shared" si="87"/>
        <v>Mon</v>
      </c>
      <c r="D207" s="64" t="str">
        <f t="shared" si="88"/>
        <v>Dec 2019</v>
      </c>
      <c r="E207" s="67" t="s">
        <v>176</v>
      </c>
      <c r="F207" s="67" t="s">
        <v>44</v>
      </c>
      <c r="G207" s="23" t="s">
        <v>162</v>
      </c>
      <c r="H207" s="23" t="s">
        <v>68</v>
      </c>
      <c r="I207" s="23" t="s">
        <v>69</v>
      </c>
      <c r="J207" s="64">
        <f t="shared" si="89"/>
        <v>2019</v>
      </c>
      <c r="K207" s="23" t="s">
        <v>73</v>
      </c>
    </row>
    <row r="208" spans="1:13" s="39" customFormat="1" ht="15" customHeight="1" x14ac:dyDescent="0.4">
      <c r="A208" s="23" t="b">
        <f t="shared" ca="1" si="90"/>
        <v>1</v>
      </c>
      <c r="B208" s="37" t="str">
        <f>TEXT(WORKDAY(DATE($B$1,1,9)-1,1,IF('Holiday (Dates to Exclude)'!$D:$D=VLOOKUP($G208,'Holiday (Dates to Exclude)'!$A:$B,2,0),'Holiday (Dates to Exclude)'!$E:$E,)),"MM/DD/YY")</f>
        <v>01/09/19</v>
      </c>
      <c r="C208" s="64" t="str">
        <f t="shared" ref="C208:C219" si="91">TEXT($B208,"DDD")</f>
        <v>Wed</v>
      </c>
      <c r="D208" s="64" t="str">
        <f t="shared" ref="D208:D219" si="92">TEXT(B208,"MMM YYYY")</f>
        <v>Jan 2019</v>
      </c>
      <c r="E208" s="23" t="s">
        <v>177</v>
      </c>
      <c r="F208" s="67" t="s">
        <v>44</v>
      </c>
      <c r="G208" s="23" t="s">
        <v>160</v>
      </c>
      <c r="H208" s="64" t="str">
        <f>TEXT(EDATE($B208,-1),"MMM")</f>
        <v>Dec</v>
      </c>
      <c r="I208" s="64" t="str">
        <f>TEXT(EOMONTH($B208,-1),"MM")</f>
        <v>12</v>
      </c>
      <c r="J208" s="64">
        <f t="shared" ref="J208:J219" si="93">YEAR(B208)</f>
        <v>2019</v>
      </c>
      <c r="K208" s="23" t="s">
        <v>108</v>
      </c>
      <c r="M208" s="34"/>
    </row>
    <row r="209" spans="1:13" s="39" customFormat="1" ht="15" customHeight="1" x14ac:dyDescent="0.4">
      <c r="A209" s="23" t="b">
        <f t="shared" ca="1" si="90"/>
        <v>1</v>
      </c>
      <c r="B209" s="37" t="str">
        <f t="array" ref="B209">TEXT(WORKDAY(DATE($B$1,2,9)-1,1,IF('Holiday (Dates to Exclude)'!$D:$D=VLOOKUP($G209,'Holiday (Dates to Exclude)'!$A:$B,2,0),'Holiday (Dates to Exclude)'!$E:$E,)),"MM/DD/YY")</f>
        <v>02/11/19</v>
      </c>
      <c r="C209" s="64" t="str">
        <f t="shared" si="91"/>
        <v>Mon</v>
      </c>
      <c r="D209" s="64" t="str">
        <f t="shared" si="92"/>
        <v>Feb 2019</v>
      </c>
      <c r="E209" s="23" t="s">
        <v>177</v>
      </c>
      <c r="F209" s="67" t="s">
        <v>44</v>
      </c>
      <c r="G209" s="23" t="s">
        <v>160</v>
      </c>
      <c r="H209" s="64" t="str">
        <f t="shared" ref="H209:H219" si="94">TEXT(EDATE($B209,-1),"MMM")</f>
        <v>Jan</v>
      </c>
      <c r="I209" s="64" t="str">
        <f t="shared" ref="I209:I219" si="95">TEXT(EOMONTH($B209,-1),"MM")</f>
        <v>01</v>
      </c>
      <c r="J209" s="64">
        <f t="shared" si="93"/>
        <v>2019</v>
      </c>
      <c r="K209" s="23" t="s">
        <v>108</v>
      </c>
    </row>
    <row r="210" spans="1:13" s="39" customFormat="1" ht="15" customHeight="1" x14ac:dyDescent="0.4">
      <c r="A210" s="23" t="b">
        <f t="shared" ca="1" si="90"/>
        <v>1</v>
      </c>
      <c r="B210" s="37" t="str">
        <f t="array" ref="B210">TEXT(WORKDAY(DATE($B$1,3,9)-1,1,IF('Holiday (Dates to Exclude)'!$D:$D=VLOOKUP($G210,'Holiday (Dates to Exclude)'!$A:$B,2,0),'Holiday (Dates to Exclude)'!$E:$E,)),"MM/DD/YY")</f>
        <v>03/11/19</v>
      </c>
      <c r="C210" s="64" t="str">
        <f t="shared" si="91"/>
        <v>Mon</v>
      </c>
      <c r="D210" s="64" t="str">
        <f t="shared" si="92"/>
        <v>Mar 2019</v>
      </c>
      <c r="E210" s="23" t="s">
        <v>177</v>
      </c>
      <c r="F210" s="67" t="s">
        <v>44</v>
      </c>
      <c r="G210" s="23" t="s">
        <v>160</v>
      </c>
      <c r="H210" s="64" t="str">
        <f t="shared" si="94"/>
        <v>Feb</v>
      </c>
      <c r="I210" s="64" t="str">
        <f t="shared" si="95"/>
        <v>02</v>
      </c>
      <c r="J210" s="64">
        <f t="shared" si="93"/>
        <v>2019</v>
      </c>
      <c r="K210" s="23" t="s">
        <v>108</v>
      </c>
    </row>
    <row r="211" spans="1:13" s="39" customFormat="1" ht="15" customHeight="1" x14ac:dyDescent="0.4">
      <c r="A211" s="23" t="b">
        <f t="shared" ca="1" si="90"/>
        <v>1</v>
      </c>
      <c r="B211" s="37" t="str">
        <f t="array" ref="B211">TEXT(WORKDAY(DATE($B$1,4,9)-1,1,IF('Holiday (Dates to Exclude)'!$D:$D=VLOOKUP($G211,'Holiday (Dates to Exclude)'!$A:$B,2,0),'Holiday (Dates to Exclude)'!$E:$E,)),"MM/DD/YY")</f>
        <v>04/09/19</v>
      </c>
      <c r="C211" s="64" t="str">
        <f t="shared" si="91"/>
        <v>Tue</v>
      </c>
      <c r="D211" s="64" t="str">
        <f t="shared" si="92"/>
        <v>Apr 2019</v>
      </c>
      <c r="E211" s="23" t="s">
        <v>177</v>
      </c>
      <c r="F211" s="67" t="s">
        <v>44</v>
      </c>
      <c r="G211" s="23" t="s">
        <v>160</v>
      </c>
      <c r="H211" s="64" t="str">
        <f t="shared" si="94"/>
        <v>Mar</v>
      </c>
      <c r="I211" s="64" t="str">
        <f t="shared" si="95"/>
        <v>03</v>
      </c>
      <c r="J211" s="64">
        <f t="shared" si="93"/>
        <v>2019</v>
      </c>
      <c r="K211" s="23" t="s">
        <v>108</v>
      </c>
    </row>
    <row r="212" spans="1:13" s="39" customFormat="1" ht="15" customHeight="1" x14ac:dyDescent="0.4">
      <c r="A212" s="23" t="b">
        <f t="shared" ca="1" si="90"/>
        <v>1</v>
      </c>
      <c r="B212" s="37" t="str">
        <f t="array" ref="B212">TEXT(WORKDAY(DATE($B$1,5,9)-1,1,IF('Holiday (Dates to Exclude)'!$D:$D=VLOOKUP($G212,'Holiday (Dates to Exclude)'!$A:$B,2,0),'Holiday (Dates to Exclude)'!$E:$E,)),"MM/DD/YY")</f>
        <v>05/09/19</v>
      </c>
      <c r="C212" s="64" t="str">
        <f t="shared" si="91"/>
        <v>Thu</v>
      </c>
      <c r="D212" s="64" t="str">
        <f t="shared" si="92"/>
        <v>May 2019</v>
      </c>
      <c r="E212" s="23" t="s">
        <v>177</v>
      </c>
      <c r="F212" s="67" t="s">
        <v>44</v>
      </c>
      <c r="G212" s="23" t="s">
        <v>160</v>
      </c>
      <c r="H212" s="64" t="str">
        <f t="shared" si="94"/>
        <v>Apr</v>
      </c>
      <c r="I212" s="64" t="str">
        <f t="shared" si="95"/>
        <v>04</v>
      </c>
      <c r="J212" s="64">
        <f t="shared" si="93"/>
        <v>2019</v>
      </c>
      <c r="K212" s="23" t="s">
        <v>108</v>
      </c>
    </row>
    <row r="213" spans="1:13" s="39" customFormat="1" ht="15" customHeight="1" x14ac:dyDescent="0.4">
      <c r="A213" s="23" t="b">
        <f t="shared" ca="1" si="90"/>
        <v>0</v>
      </c>
      <c r="B213" s="37" t="str">
        <f t="array" ref="B213">TEXT(WORKDAY(DATE($B$1,6,9)-1,1,IF('Holiday (Dates to Exclude)'!$D:$D=VLOOKUP($G213,'Holiday (Dates to Exclude)'!$A:$B,2,0),'Holiday (Dates to Exclude)'!$E:$E,)),"MM/DD/YY")</f>
        <v>06/10/19</v>
      </c>
      <c r="C213" s="64" t="str">
        <f t="shared" si="91"/>
        <v>Mon</v>
      </c>
      <c r="D213" s="64" t="str">
        <f t="shared" si="92"/>
        <v>Jun 2019</v>
      </c>
      <c r="E213" s="23" t="s">
        <v>177</v>
      </c>
      <c r="F213" s="67" t="s">
        <v>44</v>
      </c>
      <c r="G213" s="23" t="s">
        <v>160</v>
      </c>
      <c r="H213" s="64" t="str">
        <f t="shared" si="94"/>
        <v>May</v>
      </c>
      <c r="I213" s="64" t="str">
        <f t="shared" si="95"/>
        <v>05</v>
      </c>
      <c r="J213" s="64">
        <f t="shared" si="93"/>
        <v>2019</v>
      </c>
      <c r="K213" s="23" t="s">
        <v>108</v>
      </c>
    </row>
    <row r="214" spans="1:13" s="39" customFormat="1" ht="15" customHeight="1" x14ac:dyDescent="0.4">
      <c r="A214" s="23" t="b">
        <f t="shared" ca="1" si="90"/>
        <v>0</v>
      </c>
      <c r="B214" s="37" t="str">
        <f t="array" ref="B214">TEXT(WORKDAY(DATE($B$1,7,9)-1,1,IF('Holiday (Dates to Exclude)'!$D:$D=VLOOKUP($G214,'Holiday (Dates to Exclude)'!$A:$B,2,0),'Holiday (Dates to Exclude)'!$E:$E,)),"MM/DD/YY")</f>
        <v>07/09/19</v>
      </c>
      <c r="C214" s="64" t="str">
        <f t="shared" si="91"/>
        <v>Tue</v>
      </c>
      <c r="D214" s="64" t="str">
        <f t="shared" si="92"/>
        <v>Jul 2019</v>
      </c>
      <c r="E214" s="23" t="s">
        <v>177</v>
      </c>
      <c r="F214" s="67" t="s">
        <v>44</v>
      </c>
      <c r="G214" s="23" t="s">
        <v>160</v>
      </c>
      <c r="H214" s="64" t="str">
        <f t="shared" si="94"/>
        <v>Jun</v>
      </c>
      <c r="I214" s="64" t="str">
        <f t="shared" si="95"/>
        <v>06</v>
      </c>
      <c r="J214" s="64">
        <f t="shared" si="93"/>
        <v>2019</v>
      </c>
      <c r="K214" s="23" t="s">
        <v>108</v>
      </c>
      <c r="M214" s="34"/>
    </row>
    <row r="215" spans="1:13" s="39" customFormat="1" ht="15" customHeight="1" x14ac:dyDescent="0.4">
      <c r="A215" s="23" t="b">
        <f t="shared" ca="1" si="90"/>
        <v>0</v>
      </c>
      <c r="B215" s="37" t="str">
        <f t="array" ref="B215">TEXT(WORKDAY(DATE($B$1,8,9)-1,1,IF('Holiday (Dates to Exclude)'!$D:$D=VLOOKUP($G215,'Holiday (Dates to Exclude)'!$A:$B,2,0),'Holiday (Dates to Exclude)'!$E:$E,)),"MM/DD/YY")</f>
        <v>08/09/19</v>
      </c>
      <c r="C215" s="64" t="str">
        <f t="shared" si="91"/>
        <v>Fri</v>
      </c>
      <c r="D215" s="64" t="str">
        <f t="shared" si="92"/>
        <v>Aug 2019</v>
      </c>
      <c r="E215" s="23" t="s">
        <v>177</v>
      </c>
      <c r="F215" s="67" t="s">
        <v>44</v>
      </c>
      <c r="G215" s="23" t="s">
        <v>160</v>
      </c>
      <c r="H215" s="64" t="str">
        <f t="shared" si="94"/>
        <v>Jul</v>
      </c>
      <c r="I215" s="64" t="str">
        <f t="shared" si="95"/>
        <v>07</v>
      </c>
      <c r="J215" s="64">
        <f t="shared" si="93"/>
        <v>2019</v>
      </c>
      <c r="K215" s="23" t="s">
        <v>108</v>
      </c>
    </row>
    <row r="216" spans="1:13" s="39" customFormat="1" ht="15" customHeight="1" x14ac:dyDescent="0.4">
      <c r="A216" s="23" t="b">
        <f t="shared" ca="1" si="90"/>
        <v>0</v>
      </c>
      <c r="B216" s="37" t="str">
        <f t="array" ref="B216">TEXT(WORKDAY(DATE($B$1,9,9)-1,1,IF('Holiday (Dates to Exclude)'!$D:$D=VLOOKUP($G216,'Holiday (Dates to Exclude)'!$A:$B,2,0),'Holiday (Dates to Exclude)'!$E:$E,)),"MM/DD/YY")</f>
        <v>09/09/19</v>
      </c>
      <c r="C216" s="64" t="str">
        <f t="shared" si="91"/>
        <v>Mon</v>
      </c>
      <c r="D216" s="64" t="str">
        <f t="shared" si="92"/>
        <v>Sep 2019</v>
      </c>
      <c r="E216" s="23" t="s">
        <v>177</v>
      </c>
      <c r="F216" s="67" t="s">
        <v>44</v>
      </c>
      <c r="G216" s="23" t="s">
        <v>160</v>
      </c>
      <c r="H216" s="64" t="str">
        <f t="shared" si="94"/>
        <v>Aug</v>
      </c>
      <c r="I216" s="64" t="str">
        <f t="shared" si="95"/>
        <v>08</v>
      </c>
      <c r="J216" s="64">
        <f t="shared" si="93"/>
        <v>2019</v>
      </c>
      <c r="K216" s="23" t="s">
        <v>108</v>
      </c>
    </row>
    <row r="217" spans="1:13" s="39" customFormat="1" ht="15" customHeight="1" x14ac:dyDescent="0.4">
      <c r="A217" s="23" t="b">
        <f t="shared" ca="1" si="90"/>
        <v>0</v>
      </c>
      <c r="B217" s="37" t="str">
        <f t="array" ref="B217">TEXT(WORKDAY(DATE($B$1,10,9)-1,1,IF('Holiday (Dates to Exclude)'!$D:$D=VLOOKUP($G217,'Holiday (Dates to Exclude)'!$A:$B,2,0),'Holiday (Dates to Exclude)'!$E:$E,)),"MM/DD/YY")</f>
        <v>10/09/19</v>
      </c>
      <c r="C217" s="64" t="str">
        <f t="shared" si="91"/>
        <v>Wed</v>
      </c>
      <c r="D217" s="64" t="str">
        <f t="shared" si="92"/>
        <v>Oct 2019</v>
      </c>
      <c r="E217" s="23" t="s">
        <v>177</v>
      </c>
      <c r="F217" s="67" t="s">
        <v>44</v>
      </c>
      <c r="G217" s="23" t="s">
        <v>160</v>
      </c>
      <c r="H217" s="64" t="str">
        <f t="shared" si="94"/>
        <v>Sep</v>
      </c>
      <c r="I217" s="64" t="str">
        <f t="shared" si="95"/>
        <v>09</v>
      </c>
      <c r="J217" s="64">
        <f t="shared" si="93"/>
        <v>2019</v>
      </c>
      <c r="K217" s="23" t="s">
        <v>108</v>
      </c>
    </row>
    <row r="218" spans="1:13" s="39" customFormat="1" ht="15" customHeight="1" x14ac:dyDescent="0.4">
      <c r="A218" s="23" t="b">
        <f t="shared" ca="1" si="90"/>
        <v>0</v>
      </c>
      <c r="B218" s="37" t="str">
        <f t="array" ref="B218">TEXT(WORKDAY(DATE($B$1,11,9)-1,1,IF('Holiday (Dates to Exclude)'!$D:$D=VLOOKUP($G218,'Holiday (Dates to Exclude)'!$A:$B,2,0),'Holiday (Dates to Exclude)'!$E:$E,)),"MM/DD/YY")</f>
        <v>11/11/19</v>
      </c>
      <c r="C218" s="64" t="str">
        <f t="shared" si="91"/>
        <v>Mon</v>
      </c>
      <c r="D218" s="64" t="str">
        <f t="shared" si="92"/>
        <v>Nov 2019</v>
      </c>
      <c r="E218" s="23" t="s">
        <v>177</v>
      </c>
      <c r="F218" s="67" t="s">
        <v>44</v>
      </c>
      <c r="G218" s="23" t="s">
        <v>160</v>
      </c>
      <c r="H218" s="64" t="str">
        <f t="shared" si="94"/>
        <v>Oct</v>
      </c>
      <c r="I218" s="64" t="str">
        <f t="shared" si="95"/>
        <v>10</v>
      </c>
      <c r="J218" s="64">
        <f t="shared" si="93"/>
        <v>2019</v>
      </c>
      <c r="K218" s="23" t="s">
        <v>108</v>
      </c>
    </row>
    <row r="219" spans="1:13" s="39" customFormat="1" ht="15" customHeight="1" x14ac:dyDescent="0.4">
      <c r="A219" s="23" t="b">
        <f t="shared" ca="1" si="90"/>
        <v>0</v>
      </c>
      <c r="B219" s="37" t="str">
        <f t="array" ref="B219">TEXT(WORKDAY(DATE($B$1,12,9)-1,1,IF('Holiday (Dates to Exclude)'!$D:$D=VLOOKUP($G219,'Holiday (Dates to Exclude)'!$A:$B,2,0),'Holiday (Dates to Exclude)'!$E:$E,)),"MM/DD/YY")</f>
        <v>12/09/19</v>
      </c>
      <c r="C219" s="64" t="str">
        <f t="shared" si="91"/>
        <v>Mon</v>
      </c>
      <c r="D219" s="64" t="str">
        <f t="shared" si="92"/>
        <v>Dec 2019</v>
      </c>
      <c r="E219" s="23" t="s">
        <v>177</v>
      </c>
      <c r="F219" s="67" t="s">
        <v>44</v>
      </c>
      <c r="G219" s="23" t="s">
        <v>160</v>
      </c>
      <c r="H219" s="64" t="str">
        <f t="shared" si="94"/>
        <v>Nov</v>
      </c>
      <c r="I219" s="64" t="str">
        <f t="shared" si="95"/>
        <v>11</v>
      </c>
      <c r="J219" s="64">
        <f t="shared" si="93"/>
        <v>2019</v>
      </c>
      <c r="K219" s="23" t="s">
        <v>108</v>
      </c>
    </row>
    <row r="220" spans="1:13" s="11" customFormat="1" ht="15" customHeight="1" x14ac:dyDescent="0.4">
      <c r="A220" s="23" t="b">
        <f t="shared" ca="1" si="90"/>
        <v>1</v>
      </c>
      <c r="B220" s="62" t="str">
        <f>TEXT(WORKDAY(CEILING(EOMONTH(DATE($B$1,1,1),0)-2,7)-4-1,1,IF('Holiday (Dates to Exclude)'!$D:$D=VLOOKUP($G220,'Holiday (Dates to Exclude)'!$A:$B,2,0),'Holiday (Dates to Exclude)'!$E:$E,)),"MM/DD/YY")</f>
        <v>01/29/19</v>
      </c>
      <c r="C220" s="63" t="str">
        <f>TEXT(B220,"ddd")</f>
        <v>Tue</v>
      </c>
      <c r="D220" s="64" t="str">
        <f>TEXT($B220,"MMM YYYY")</f>
        <v>Jan 2019</v>
      </c>
      <c r="E220" s="62" t="s">
        <v>170</v>
      </c>
      <c r="F220" s="62" t="s">
        <v>44</v>
      </c>
      <c r="G220" s="65" t="s">
        <v>148</v>
      </c>
      <c r="H220" s="64" t="str">
        <f>TEXT(EDATE($B220,-1),"MMM")</f>
        <v>Dec</v>
      </c>
      <c r="I220" s="64" t="str">
        <f>TEXT(EOMONTH($B220,-1),"MM")</f>
        <v>12</v>
      </c>
      <c r="J220" s="64">
        <f>YEAR(B220)</f>
        <v>2019</v>
      </c>
      <c r="K220" s="65" t="s">
        <v>65</v>
      </c>
      <c r="L220" s="39" t="s">
        <v>82</v>
      </c>
      <c r="M220" s="23"/>
    </row>
    <row r="221" spans="1:13" s="13" customFormat="1" ht="15" customHeight="1" x14ac:dyDescent="0.4">
      <c r="A221" s="23" t="b">
        <f t="shared" ca="1" si="90"/>
        <v>1</v>
      </c>
      <c r="B221" s="62" t="str">
        <f>TEXT(WORKDAY(CEILING(EOMONTH(DATE($B$1,2,1),0)-2,7)-4-1,1,IF('Holiday (Dates to Exclude)'!$D:$D=VLOOKUP($G221,'Holiday (Dates to Exclude)'!$A:$B,2,0),'Holiday (Dates to Exclude)'!$E:$E,)),"MM/DD/YY")</f>
        <v>02/26/19</v>
      </c>
      <c r="C221" s="64" t="str">
        <f>TEXT($B221,"DDD")</f>
        <v>Tue</v>
      </c>
      <c r="D221" s="64" t="str">
        <f>TEXT($B221,"MMM YYYY")</f>
        <v>Feb 2019</v>
      </c>
      <c r="E221" s="62" t="s">
        <v>170</v>
      </c>
      <c r="F221" s="62" t="s">
        <v>44</v>
      </c>
      <c r="G221" s="65" t="s">
        <v>148</v>
      </c>
      <c r="H221" s="64" t="str">
        <f>TEXT(EDATE($B221,-1),"MMM")</f>
        <v>Jan</v>
      </c>
      <c r="I221" s="64" t="str">
        <f>TEXT(EOMONTH($B221,-1),"MM")</f>
        <v>01</v>
      </c>
      <c r="J221" s="64">
        <f>YEAR(B221)</f>
        <v>2019</v>
      </c>
      <c r="K221" s="65" t="s">
        <v>65</v>
      </c>
      <c r="L221" s="39" t="s">
        <v>82</v>
      </c>
      <c r="M221" s="64"/>
    </row>
    <row r="222" spans="1:13" s="13" customFormat="1" ht="15" customHeight="1" x14ac:dyDescent="0.4">
      <c r="A222" s="23" t="b">
        <f t="shared" ca="1" si="90"/>
        <v>1</v>
      </c>
      <c r="B222" s="62" t="str">
        <f>TEXT(WORKDAY(CEILING(EOMONTH(DATE($B$1,3,1),0)-2,7)-4-1,1,IF('Holiday (Dates to Exclude)'!$D:$D=VLOOKUP($G222,'Holiday (Dates to Exclude)'!$A:$B,2,0),'Holiday (Dates to Exclude)'!$E:$E,)),"MM/DD/YY")</f>
        <v>03/26/19</v>
      </c>
      <c r="C222" s="64" t="str">
        <f t="shared" ref="C222:C231" si="96">TEXT($B222,"DDD")</f>
        <v>Tue</v>
      </c>
      <c r="D222" s="64" t="str">
        <f t="shared" ref="D222:D231" si="97">TEXT(B222,"MMM YYYY")</f>
        <v>Mar 2019</v>
      </c>
      <c r="E222" s="62" t="s">
        <v>170</v>
      </c>
      <c r="F222" s="62" t="s">
        <v>44</v>
      </c>
      <c r="G222" s="65" t="s">
        <v>148</v>
      </c>
      <c r="H222" s="64" t="str">
        <f t="shared" ref="H222:H231" si="98">TEXT(EDATE($B222,-1),"MMM")</f>
        <v>Feb</v>
      </c>
      <c r="I222" s="64" t="str">
        <f t="shared" ref="I222:I231" si="99">TEXT(EOMONTH($B222,-1),"MM")</f>
        <v>02</v>
      </c>
      <c r="J222" s="64">
        <f t="shared" ref="J222:J231" si="100">YEAR(B222)</f>
        <v>2019</v>
      </c>
      <c r="K222" s="65" t="s">
        <v>65</v>
      </c>
      <c r="L222" s="39" t="s">
        <v>82</v>
      </c>
      <c r="M222" s="64"/>
    </row>
    <row r="223" spans="1:13" s="13" customFormat="1" ht="15" customHeight="1" x14ac:dyDescent="0.4">
      <c r="A223" s="23" t="b">
        <f t="shared" ca="1" si="90"/>
        <v>1</v>
      </c>
      <c r="B223" s="62" t="str">
        <f>TEXT(WORKDAY(CEILING(EOMONTH(DATE($B$1,4,1),0)-2,7)-4-1,1,IF('Holiday (Dates to Exclude)'!$D:$D=VLOOKUP($G223,'Holiday (Dates to Exclude)'!$A:$B,2,0),'Holiday (Dates to Exclude)'!$E:$E,)),"MM/DD/YY")</f>
        <v>04/30/19</v>
      </c>
      <c r="C223" s="64" t="str">
        <f t="shared" si="96"/>
        <v>Tue</v>
      </c>
      <c r="D223" s="64" t="str">
        <f t="shared" si="97"/>
        <v>Apr 2019</v>
      </c>
      <c r="E223" s="62" t="s">
        <v>170</v>
      </c>
      <c r="F223" s="62" t="s">
        <v>44</v>
      </c>
      <c r="G223" s="65" t="s">
        <v>148</v>
      </c>
      <c r="H223" s="64" t="str">
        <f t="shared" si="98"/>
        <v>Mar</v>
      </c>
      <c r="I223" s="64" t="str">
        <f t="shared" si="99"/>
        <v>03</v>
      </c>
      <c r="J223" s="64">
        <f t="shared" si="100"/>
        <v>2019</v>
      </c>
      <c r="K223" s="65" t="s">
        <v>65</v>
      </c>
      <c r="L223" s="39" t="s">
        <v>82</v>
      </c>
      <c r="M223" s="64"/>
    </row>
    <row r="224" spans="1:13" s="13" customFormat="1" ht="15" customHeight="1" x14ac:dyDescent="0.4">
      <c r="A224" s="23" t="b">
        <f t="shared" ca="1" si="90"/>
        <v>1</v>
      </c>
      <c r="B224" s="62" t="str">
        <f>TEXT(WORKDAY(CEILING(EOMONTH(DATE($B$1,5,1),0)-2,7)-4-1,1,IF('Holiday (Dates to Exclude)'!$D:$D=VLOOKUP($G224,'Holiday (Dates to Exclude)'!$A:$B,2,0),'Holiday (Dates to Exclude)'!$E:$E,)),"MM/DD/YY")</f>
        <v>05/28/19</v>
      </c>
      <c r="C224" s="64" t="str">
        <f t="shared" si="96"/>
        <v>Tue</v>
      </c>
      <c r="D224" s="64" t="str">
        <f t="shared" si="97"/>
        <v>May 2019</v>
      </c>
      <c r="E224" s="62" t="s">
        <v>170</v>
      </c>
      <c r="F224" s="62" t="s">
        <v>44</v>
      </c>
      <c r="G224" s="65" t="s">
        <v>148</v>
      </c>
      <c r="H224" s="64" t="str">
        <f t="shared" si="98"/>
        <v>Apr</v>
      </c>
      <c r="I224" s="64" t="str">
        <f t="shared" si="99"/>
        <v>04</v>
      </c>
      <c r="J224" s="64">
        <f t="shared" si="100"/>
        <v>2019</v>
      </c>
      <c r="K224" s="65" t="s">
        <v>65</v>
      </c>
      <c r="L224" s="39" t="s">
        <v>82</v>
      </c>
      <c r="M224" s="64"/>
    </row>
    <row r="225" spans="1:13" s="13" customFormat="1" ht="15" customHeight="1" x14ac:dyDescent="0.4">
      <c r="A225" s="23" t="b">
        <f t="shared" ca="1" si="90"/>
        <v>0</v>
      </c>
      <c r="B225" s="62" t="str">
        <f>TEXT(WORKDAY(CEILING(EOMONTH(DATE($B$1,6,1),0)-2,7)-4-1,1,IF('Holiday (Dates to Exclude)'!$D:$D=VLOOKUP($G225,'Holiday (Dates to Exclude)'!$A:$B,2,0),'Holiday (Dates to Exclude)'!$E:$E,)),"MM/DD/YY")</f>
        <v>06/25/19</v>
      </c>
      <c r="C225" s="64" t="str">
        <f t="shared" si="96"/>
        <v>Tue</v>
      </c>
      <c r="D225" s="64" t="str">
        <f t="shared" si="97"/>
        <v>Jun 2019</v>
      </c>
      <c r="E225" s="62" t="s">
        <v>170</v>
      </c>
      <c r="F225" s="62" t="s">
        <v>44</v>
      </c>
      <c r="G225" s="65" t="s">
        <v>148</v>
      </c>
      <c r="H225" s="64" t="str">
        <f t="shared" si="98"/>
        <v>May</v>
      </c>
      <c r="I225" s="64" t="str">
        <f t="shared" si="99"/>
        <v>05</v>
      </c>
      <c r="J225" s="64">
        <f t="shared" si="100"/>
        <v>2019</v>
      </c>
      <c r="K225" s="65" t="s">
        <v>65</v>
      </c>
      <c r="L225" s="39" t="s">
        <v>82</v>
      </c>
      <c r="M225" s="64"/>
    </row>
    <row r="226" spans="1:13" s="13" customFormat="1" ht="15" customHeight="1" x14ac:dyDescent="0.4">
      <c r="A226" s="23" t="b">
        <f t="shared" ca="1" si="90"/>
        <v>0</v>
      </c>
      <c r="B226" s="62" t="str">
        <f>TEXT(WORKDAY(CEILING(EOMONTH(DATE($B$1,7,1),0)-2,7)-4-1,1,IF('Holiday (Dates to Exclude)'!$D:$D=VLOOKUP($G226,'Holiday (Dates to Exclude)'!$A:$B,2,0),'Holiday (Dates to Exclude)'!$E:$E,)),"MM/DD/YY")</f>
        <v>07/30/19</v>
      </c>
      <c r="C226" s="64" t="str">
        <f t="shared" si="96"/>
        <v>Tue</v>
      </c>
      <c r="D226" s="64" t="str">
        <f t="shared" si="97"/>
        <v>Jul 2019</v>
      </c>
      <c r="E226" s="62" t="s">
        <v>170</v>
      </c>
      <c r="F226" s="62" t="s">
        <v>44</v>
      </c>
      <c r="G226" s="65" t="s">
        <v>148</v>
      </c>
      <c r="H226" s="64" t="str">
        <f t="shared" si="98"/>
        <v>Jun</v>
      </c>
      <c r="I226" s="64" t="str">
        <f t="shared" si="99"/>
        <v>06</v>
      </c>
      <c r="J226" s="64">
        <f t="shared" si="100"/>
        <v>2019</v>
      </c>
      <c r="K226" s="65" t="s">
        <v>65</v>
      </c>
      <c r="L226" s="39" t="s">
        <v>82</v>
      </c>
      <c r="M226" s="64"/>
    </row>
    <row r="227" spans="1:13" s="13" customFormat="1" ht="15" customHeight="1" x14ac:dyDescent="0.4">
      <c r="A227" s="23" t="b">
        <f t="shared" ca="1" si="90"/>
        <v>0</v>
      </c>
      <c r="B227" s="62" t="str">
        <f>TEXT(WORKDAY(CEILING(EOMONTH(DATE($B$1,8,1),0)-2,7)-4-1,1,IF('Holiday (Dates to Exclude)'!$D:$D=VLOOKUP($G227,'Holiday (Dates to Exclude)'!$A:$B,2,0),'Holiday (Dates to Exclude)'!$E:$E,)),"MM/DD/YY")</f>
        <v>08/27/19</v>
      </c>
      <c r="C227" s="64" t="str">
        <f t="shared" si="96"/>
        <v>Tue</v>
      </c>
      <c r="D227" s="64" t="str">
        <f t="shared" si="97"/>
        <v>Aug 2019</v>
      </c>
      <c r="E227" s="62" t="s">
        <v>170</v>
      </c>
      <c r="F227" s="62" t="s">
        <v>44</v>
      </c>
      <c r="G227" s="65" t="s">
        <v>148</v>
      </c>
      <c r="H227" s="64" t="str">
        <f t="shared" si="98"/>
        <v>Jul</v>
      </c>
      <c r="I227" s="64" t="str">
        <f t="shared" si="99"/>
        <v>07</v>
      </c>
      <c r="J227" s="64">
        <f t="shared" si="100"/>
        <v>2019</v>
      </c>
      <c r="K227" s="65" t="s">
        <v>65</v>
      </c>
      <c r="L227" s="39" t="s">
        <v>82</v>
      </c>
      <c r="M227" s="64"/>
    </row>
    <row r="228" spans="1:13" s="13" customFormat="1" ht="15" customHeight="1" x14ac:dyDescent="0.4">
      <c r="A228" s="23" t="b">
        <f t="shared" ca="1" si="90"/>
        <v>0</v>
      </c>
      <c r="B228" s="62" t="str">
        <f>TEXT(WORKDAY(CEILING(EOMONTH(DATE($B$1,9,1),0)-2,7)-4-1,1,IF('Holiday (Dates to Exclude)'!$D:$D=VLOOKUP($G228,'Holiday (Dates to Exclude)'!$A:$B,2,0),'Holiday (Dates to Exclude)'!$E:$E,)),"MM/DD/YY")</f>
        <v>09/24/19</v>
      </c>
      <c r="C228" s="64" t="str">
        <f t="shared" si="96"/>
        <v>Tue</v>
      </c>
      <c r="D228" s="64" t="str">
        <f t="shared" si="97"/>
        <v>Sep 2019</v>
      </c>
      <c r="E228" s="62" t="s">
        <v>170</v>
      </c>
      <c r="F228" s="62" t="s">
        <v>44</v>
      </c>
      <c r="G228" s="65" t="s">
        <v>148</v>
      </c>
      <c r="H228" s="64" t="str">
        <f t="shared" si="98"/>
        <v>Aug</v>
      </c>
      <c r="I228" s="64" t="str">
        <f t="shared" si="99"/>
        <v>08</v>
      </c>
      <c r="J228" s="64">
        <f t="shared" si="100"/>
        <v>2019</v>
      </c>
      <c r="K228" s="65" t="s">
        <v>65</v>
      </c>
      <c r="L228" s="39" t="s">
        <v>82</v>
      </c>
      <c r="M228" s="64"/>
    </row>
    <row r="229" spans="1:13" s="13" customFormat="1" ht="15" customHeight="1" x14ac:dyDescent="0.4">
      <c r="A229" s="23" t="b">
        <f t="shared" ca="1" si="90"/>
        <v>0</v>
      </c>
      <c r="B229" s="62" t="str">
        <f>TEXT(WORKDAY(CEILING(EOMONTH(DATE($B$1,10,1),0)-2,7)-4-1,1,IF('Holiday (Dates to Exclude)'!$D:$D=VLOOKUP($G229,'Holiday (Dates to Exclude)'!$A:$B,2,0),'Holiday (Dates to Exclude)'!$E:$E,)),"MM/DD/YY")</f>
        <v>10/29/19</v>
      </c>
      <c r="C229" s="64" t="str">
        <f t="shared" si="96"/>
        <v>Tue</v>
      </c>
      <c r="D229" s="64" t="str">
        <f t="shared" si="97"/>
        <v>Oct 2019</v>
      </c>
      <c r="E229" s="62" t="s">
        <v>170</v>
      </c>
      <c r="F229" s="62" t="s">
        <v>44</v>
      </c>
      <c r="G229" s="65" t="s">
        <v>148</v>
      </c>
      <c r="H229" s="64" t="str">
        <f t="shared" si="98"/>
        <v>Sep</v>
      </c>
      <c r="I229" s="64" t="str">
        <f t="shared" si="99"/>
        <v>09</v>
      </c>
      <c r="J229" s="64">
        <f t="shared" si="100"/>
        <v>2019</v>
      </c>
      <c r="K229" s="65" t="s">
        <v>65</v>
      </c>
      <c r="L229" s="39" t="s">
        <v>82</v>
      </c>
      <c r="M229" s="64"/>
    </row>
    <row r="230" spans="1:13" s="13" customFormat="1" ht="15" customHeight="1" x14ac:dyDescent="0.4">
      <c r="A230" s="23" t="b">
        <f t="shared" ca="1" si="90"/>
        <v>0</v>
      </c>
      <c r="B230" s="62" t="str">
        <f>TEXT(WORKDAY(CEILING(EOMONTH(DATE($B$1,11,1),0)-2,7)-4-1,1,IF('Holiday (Dates to Exclude)'!$D:$D=VLOOKUP($G230,'Holiday (Dates to Exclude)'!$A:$B,2,0),'Holiday (Dates to Exclude)'!$E:$E,)),"MM/DD/YY")</f>
        <v>11/26/19</v>
      </c>
      <c r="C230" s="64" t="str">
        <f t="shared" si="96"/>
        <v>Tue</v>
      </c>
      <c r="D230" s="64" t="str">
        <f t="shared" si="97"/>
        <v>Nov 2019</v>
      </c>
      <c r="E230" s="62" t="s">
        <v>170</v>
      </c>
      <c r="F230" s="62" t="s">
        <v>44</v>
      </c>
      <c r="G230" s="65" t="s">
        <v>148</v>
      </c>
      <c r="H230" s="64" t="str">
        <f t="shared" si="98"/>
        <v>Oct</v>
      </c>
      <c r="I230" s="64" t="str">
        <f t="shared" si="99"/>
        <v>10</v>
      </c>
      <c r="J230" s="64">
        <f t="shared" si="100"/>
        <v>2019</v>
      </c>
      <c r="K230" s="65" t="s">
        <v>65</v>
      </c>
      <c r="L230" s="39" t="s">
        <v>82</v>
      </c>
      <c r="M230" s="64"/>
    </row>
    <row r="231" spans="1:13" s="13" customFormat="1" ht="15" customHeight="1" x14ac:dyDescent="0.4">
      <c r="A231" s="23" t="b">
        <f t="shared" ca="1" si="90"/>
        <v>0</v>
      </c>
      <c r="B231" s="62" t="str">
        <f>TEXT(WORKDAY(CEILING(EOMONTH(DATE($B$1,12,1),0)-2,7)-4-1,1,IF('Holiday (Dates to Exclude)'!$D:$D=VLOOKUP($G231,'Holiday (Dates to Exclude)'!$A:$B,2,0),'Holiday (Dates to Exclude)'!$E:$E,)),"MM/DD/YY")</f>
        <v>12/31/19</v>
      </c>
      <c r="C231" s="64" t="str">
        <f t="shared" si="96"/>
        <v>Tue</v>
      </c>
      <c r="D231" s="64" t="str">
        <f t="shared" si="97"/>
        <v>Dec 2019</v>
      </c>
      <c r="E231" s="62" t="s">
        <v>170</v>
      </c>
      <c r="F231" s="62" t="s">
        <v>44</v>
      </c>
      <c r="G231" s="65" t="s">
        <v>148</v>
      </c>
      <c r="H231" s="64" t="str">
        <f t="shared" si="98"/>
        <v>Nov</v>
      </c>
      <c r="I231" s="64" t="str">
        <f t="shared" si="99"/>
        <v>11</v>
      </c>
      <c r="J231" s="64">
        <f t="shared" si="100"/>
        <v>2019</v>
      </c>
      <c r="K231" s="65" t="s">
        <v>65</v>
      </c>
      <c r="L231" s="39" t="s">
        <v>82</v>
      </c>
      <c r="M231" s="64"/>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292"/>
  <sheetViews>
    <sheetView showGridLines="0" zoomScale="95" zoomScaleNormal="95" workbookViewId="0">
      <pane ySplit="3" topLeftCell="A4" activePane="bottomLeft" state="frozen"/>
      <selection pane="bottomLeft"/>
    </sheetView>
  </sheetViews>
  <sheetFormatPr defaultRowHeight="15" customHeight="1" x14ac:dyDescent="0.4"/>
  <cols>
    <col min="1" max="1" width="74.69140625" customWidth="1"/>
    <col min="2" max="2" width="6.53515625" customWidth="1"/>
    <col min="3" max="3" width="16.69140625" customWidth="1"/>
    <col min="4" max="4" width="9.53515625" customWidth="1"/>
    <col min="5" max="5" width="12.53515625" customWidth="1"/>
    <col min="6" max="6" width="9.69140625" customWidth="1"/>
    <col min="7" max="7" width="13.69140625" customWidth="1"/>
    <col min="8" max="8" width="15.15234375" customWidth="1"/>
    <col min="9" max="9" width="11.69140625" customWidth="1"/>
    <col min="10" max="10" width="39.15234375" bestFit="1" customWidth="1"/>
    <col min="11" max="11" width="22.53515625" style="43" customWidth="1"/>
  </cols>
  <sheetData>
    <row r="1" spans="1:12" s="13" customFormat="1" ht="15" customHeight="1" x14ac:dyDescent="0.4">
      <c r="A1" s="26" t="s">
        <v>78</v>
      </c>
      <c r="B1" s="25">
        <v>2019</v>
      </c>
      <c r="C1" s="25"/>
      <c r="D1" s="25"/>
      <c r="E1" s="25"/>
      <c r="F1" s="25"/>
      <c r="G1" s="25"/>
      <c r="H1" s="25"/>
      <c r="I1" s="25"/>
      <c r="J1" s="25"/>
    </row>
    <row r="2" spans="1:12" s="13" customFormat="1" ht="15" customHeight="1" x14ac:dyDescent="0.4">
      <c r="B2" s="25"/>
      <c r="C2" s="25"/>
      <c r="D2" s="25"/>
      <c r="E2" s="25"/>
      <c r="F2" s="25"/>
      <c r="G2" s="25"/>
      <c r="H2" s="25"/>
      <c r="I2" s="25"/>
      <c r="J2" s="25"/>
    </row>
    <row r="3" spans="1:12" s="14" customFormat="1" ht="15" customHeight="1" x14ac:dyDescent="0.4">
      <c r="A3" s="30" t="s">
        <v>11</v>
      </c>
      <c r="B3" s="31" t="s">
        <v>30</v>
      </c>
      <c r="C3" s="31" t="s">
        <v>51</v>
      </c>
      <c r="D3" s="30" t="s">
        <v>5</v>
      </c>
      <c r="E3" s="30" t="s">
        <v>42</v>
      </c>
      <c r="F3" s="30" t="s">
        <v>41</v>
      </c>
      <c r="G3" s="30" t="s">
        <v>8</v>
      </c>
      <c r="H3" s="30" t="s">
        <v>31</v>
      </c>
      <c r="I3" s="30" t="s">
        <v>32</v>
      </c>
      <c r="J3" s="30" t="s">
        <v>34</v>
      </c>
      <c r="K3" s="42" t="s">
        <v>83</v>
      </c>
      <c r="L3" s="42" t="s">
        <v>79</v>
      </c>
    </row>
    <row r="4" spans="1:12" s="34" customFormat="1" ht="15" customHeight="1" x14ac:dyDescent="0.4">
      <c r="A4" s="32"/>
      <c r="B4" s="33"/>
      <c r="C4" s="33"/>
      <c r="D4" s="32"/>
      <c r="E4" s="32"/>
      <c r="F4" s="32"/>
      <c r="G4" s="32"/>
      <c r="H4" s="32"/>
      <c r="I4" s="32"/>
      <c r="J4" s="32"/>
      <c r="K4" s="39"/>
    </row>
    <row r="5" spans="1:12" s="34" customFormat="1" ht="15" customHeight="1" x14ac:dyDescent="0.4">
      <c r="A5" s="35" t="s">
        <v>80</v>
      </c>
      <c r="B5" s="36"/>
      <c r="C5" s="36"/>
      <c r="D5" s="35"/>
      <c r="E5" s="35"/>
      <c r="F5" s="35"/>
      <c r="G5" s="35"/>
      <c r="H5" s="35"/>
      <c r="I5" s="35"/>
      <c r="J5" s="35"/>
      <c r="K5" s="39"/>
    </row>
    <row r="6" spans="1:12" s="23" customFormat="1" ht="15" customHeight="1" x14ac:dyDescent="0.4">
      <c r="A6" s="62" t="str">
        <f t="array" ref="A6">TEXT(WORKDAY(CEILING(EOMONTH(DATE($B$1,1,1),-1)-5,7)+6-1,1,IF('Holiday (Dates to Exclude)'!$D:$D=VLOOKUP($F6,'Holiday (Dates to Exclude)'!$A:$B,2,0),'Holiday (Dates to Exclude)'!$E:$E,)),"MM/DD/YY")</f>
        <v>01/04/19</v>
      </c>
      <c r="B6" s="63" t="str">
        <f>TEXT(A6,"ddd")</f>
        <v>Fri</v>
      </c>
      <c r="C6" s="64" t="str">
        <f>TEXT($A6,"MMM YYYY")</f>
        <v>Jan 2019</v>
      </c>
      <c r="D6" s="62" t="s">
        <v>170</v>
      </c>
      <c r="E6" s="62" t="s">
        <v>44</v>
      </c>
      <c r="F6" s="65" t="s">
        <v>148</v>
      </c>
      <c r="G6" s="64" t="str">
        <f>TEXT(EDATE($A6,-1),"MMM")</f>
        <v>Dec</v>
      </c>
      <c r="H6" s="64" t="str">
        <f>TEXT(EOMONTH($A6,-1),"MM")</f>
        <v>12</v>
      </c>
      <c r="I6" s="64">
        <f>YEAR(A6)</f>
        <v>2019</v>
      </c>
      <c r="J6" s="65" t="s">
        <v>35</v>
      </c>
      <c r="K6" s="39" t="s">
        <v>82</v>
      </c>
    </row>
    <row r="7" spans="1:12" s="64" customFormat="1" ht="15" customHeight="1" x14ac:dyDescent="0.4">
      <c r="A7" s="64" t="str">
        <f t="array" ref="A7">TEXT(WORKDAY(CEILING(EOMONTH(DATE($B$1,2,1),-1)-5,7)+6-1,1,IF('Holiday (Dates to Exclude)'!$D:$D=VLOOKUP($F7,'Holiday (Dates to Exclude)'!$A:$B,2,0),'Holiday (Dates to Exclude)'!$E:$E,)),"MM/DD/YY")</f>
        <v>02/01/19</v>
      </c>
      <c r="B7" s="64" t="str">
        <f>TEXT($A7,"DDD")</f>
        <v>Fri</v>
      </c>
      <c r="C7" s="64" t="str">
        <f>TEXT($A7,"MMM YYYY")</f>
        <v>Feb 2019</v>
      </c>
      <c r="D7" s="64" t="str">
        <f t="shared" ref="D7:D17" si="0">$D$6</f>
        <v>Project 1</v>
      </c>
      <c r="E7" s="64" t="str">
        <f t="shared" ref="E7:E17" si="1">$E$6</f>
        <v>Monthly</v>
      </c>
      <c r="F7" s="64" t="str">
        <f t="shared" ref="F7:F17" si="2">$F$6</f>
        <v>Owner E</v>
      </c>
      <c r="G7" s="64" t="str">
        <f>TEXT(EDATE($A7,-1),"MMM")</f>
        <v>Jan</v>
      </c>
      <c r="H7" s="64" t="str">
        <f>TEXT(EOMONTH($A7,-1),"MM")</f>
        <v>01</v>
      </c>
      <c r="I7" s="64">
        <f>YEAR(A7)</f>
        <v>2019</v>
      </c>
      <c r="J7" s="64" t="str">
        <f t="shared" ref="J7:J17" si="3">$J$6</f>
        <v>1st Friday of each month</v>
      </c>
      <c r="K7" s="39" t="s">
        <v>82</v>
      </c>
    </row>
    <row r="8" spans="1:12" s="64" customFormat="1" ht="15" customHeight="1" x14ac:dyDescent="0.4">
      <c r="A8" s="64" t="str">
        <f t="array" ref="A8">TEXT(WORKDAY(CEILING(EOMONTH(DATE($B$1,3,1),-1)-5,7)+6-1,1,IF('Holiday (Dates to Exclude)'!$D:$D=VLOOKUP($F8,'Holiday (Dates to Exclude)'!$A:$B,2,0),'Holiday (Dates to Exclude)'!$E:$E,)),"MM/DD/YY")</f>
        <v>03/01/19</v>
      </c>
      <c r="B8" s="64" t="str">
        <f t="shared" ref="B8:B17" si="4">TEXT($A8,"DDD")</f>
        <v>Fri</v>
      </c>
      <c r="C8" s="64" t="str">
        <f t="shared" ref="C8:C17" si="5">TEXT(A8,"MMM YYYY")</f>
        <v>Mar 2019</v>
      </c>
      <c r="D8" s="64" t="str">
        <f t="shared" si="0"/>
        <v>Project 1</v>
      </c>
      <c r="E8" s="64" t="str">
        <f t="shared" si="1"/>
        <v>Monthly</v>
      </c>
      <c r="F8" s="64" t="str">
        <f t="shared" si="2"/>
        <v>Owner E</v>
      </c>
      <c r="G8" s="64" t="str">
        <f t="shared" ref="G8:G17" si="6">TEXT(EDATE($A8,-1),"MMM")</f>
        <v>Feb</v>
      </c>
      <c r="H8" s="64" t="str">
        <f t="shared" ref="H8:H17" si="7">TEXT(EOMONTH($A8,-1),"MM")</f>
        <v>02</v>
      </c>
      <c r="I8" s="64">
        <f t="shared" ref="I8:I17" si="8">YEAR(A8)</f>
        <v>2019</v>
      </c>
      <c r="J8" s="64" t="str">
        <f t="shared" si="3"/>
        <v>1st Friday of each month</v>
      </c>
      <c r="K8" s="39" t="s">
        <v>82</v>
      </c>
    </row>
    <row r="9" spans="1:12" s="64" customFormat="1" ht="15" customHeight="1" x14ac:dyDescent="0.4">
      <c r="A9" s="64" t="str">
        <f t="array" ref="A9">TEXT(WORKDAY(CEILING(EOMONTH(DATE($B$1,4,1),-1)-5,7)+6-1,1,IF('Holiday (Dates to Exclude)'!$D:$D=VLOOKUP($F9,'Holiday (Dates to Exclude)'!$A:$B,2,0),'Holiday (Dates to Exclude)'!$E:$E,)),"MM/DD/YY")</f>
        <v>04/05/19</v>
      </c>
      <c r="B9" s="64" t="str">
        <f t="shared" si="4"/>
        <v>Fri</v>
      </c>
      <c r="C9" s="64" t="str">
        <f t="shared" si="5"/>
        <v>Apr 2019</v>
      </c>
      <c r="D9" s="64" t="str">
        <f t="shared" si="0"/>
        <v>Project 1</v>
      </c>
      <c r="E9" s="64" t="str">
        <f t="shared" si="1"/>
        <v>Monthly</v>
      </c>
      <c r="F9" s="64" t="str">
        <f t="shared" si="2"/>
        <v>Owner E</v>
      </c>
      <c r="G9" s="64" t="str">
        <f t="shared" si="6"/>
        <v>Mar</v>
      </c>
      <c r="H9" s="64" t="str">
        <f t="shared" si="7"/>
        <v>03</v>
      </c>
      <c r="I9" s="64">
        <f t="shared" si="8"/>
        <v>2019</v>
      </c>
      <c r="J9" s="64" t="str">
        <f t="shared" si="3"/>
        <v>1st Friday of each month</v>
      </c>
      <c r="K9" s="39" t="s">
        <v>82</v>
      </c>
    </row>
    <row r="10" spans="1:12" s="64" customFormat="1" ht="15" customHeight="1" x14ac:dyDescent="0.4">
      <c r="A10" s="64" t="str">
        <f t="array" ref="A10">TEXT(WORKDAY(CEILING(EOMONTH(DATE($B$1,5,1),-1)-5,7)+6-1,1,IF('Holiday (Dates to Exclude)'!$D:$D=VLOOKUP($F10,'Holiday (Dates to Exclude)'!$A:$B,2,0),'Holiday (Dates to Exclude)'!$E:$E,)),"MM/DD/YY")</f>
        <v>05/03/19</v>
      </c>
      <c r="B10" s="64" t="str">
        <f t="shared" si="4"/>
        <v>Fri</v>
      </c>
      <c r="C10" s="64" t="str">
        <f t="shared" si="5"/>
        <v>May 2019</v>
      </c>
      <c r="D10" s="64" t="str">
        <f t="shared" si="0"/>
        <v>Project 1</v>
      </c>
      <c r="E10" s="64" t="str">
        <f t="shared" si="1"/>
        <v>Monthly</v>
      </c>
      <c r="F10" s="64" t="str">
        <f t="shared" si="2"/>
        <v>Owner E</v>
      </c>
      <c r="G10" s="64" t="str">
        <f t="shared" si="6"/>
        <v>Apr</v>
      </c>
      <c r="H10" s="64" t="str">
        <f t="shared" si="7"/>
        <v>04</v>
      </c>
      <c r="I10" s="64">
        <f t="shared" si="8"/>
        <v>2019</v>
      </c>
      <c r="J10" s="64" t="str">
        <f t="shared" si="3"/>
        <v>1st Friday of each month</v>
      </c>
      <c r="K10" s="39" t="s">
        <v>82</v>
      </c>
    </row>
    <row r="11" spans="1:12" s="64" customFormat="1" ht="15" customHeight="1" x14ac:dyDescent="0.4">
      <c r="A11" s="64" t="str">
        <f t="array" ref="A11">TEXT(WORKDAY(CEILING(EOMONTH(DATE($B$1,6,1),-1)-5,7)+6-1,1,IF('Holiday (Dates to Exclude)'!$D:$D=VLOOKUP($F11,'Holiday (Dates to Exclude)'!$A:$B,2,0),'Holiday (Dates to Exclude)'!$E:$E,)),"MM/DD/YY")</f>
        <v>06/07/19</v>
      </c>
      <c r="B11" s="64" t="str">
        <f t="shared" si="4"/>
        <v>Fri</v>
      </c>
      <c r="C11" s="64" t="str">
        <f t="shared" si="5"/>
        <v>Jun 2019</v>
      </c>
      <c r="D11" s="64" t="str">
        <f t="shared" si="0"/>
        <v>Project 1</v>
      </c>
      <c r="E11" s="64" t="str">
        <f t="shared" si="1"/>
        <v>Monthly</v>
      </c>
      <c r="F11" s="64" t="str">
        <f t="shared" si="2"/>
        <v>Owner E</v>
      </c>
      <c r="G11" s="64" t="str">
        <f t="shared" si="6"/>
        <v>May</v>
      </c>
      <c r="H11" s="64" t="str">
        <f t="shared" si="7"/>
        <v>05</v>
      </c>
      <c r="I11" s="64">
        <f t="shared" si="8"/>
        <v>2019</v>
      </c>
      <c r="J11" s="64" t="str">
        <f t="shared" si="3"/>
        <v>1st Friday of each month</v>
      </c>
      <c r="K11" s="39" t="s">
        <v>82</v>
      </c>
    </row>
    <row r="12" spans="1:12" s="64" customFormat="1" ht="15" customHeight="1" x14ac:dyDescent="0.4">
      <c r="A12" s="64" t="str">
        <f t="array" ref="A12">TEXT(WORKDAY(CEILING(EOMONTH(DATE($B$1,7,1),-1)-5,7)+6-1,1,IF('Holiday (Dates to Exclude)'!$D:$D=VLOOKUP($F12,'Holiday (Dates to Exclude)'!$A:$B,2,0),'Holiday (Dates to Exclude)'!$E:$E,)),"MM/DD/YY")</f>
        <v>07/05/19</v>
      </c>
      <c r="B12" s="64" t="str">
        <f t="shared" si="4"/>
        <v>Fri</v>
      </c>
      <c r="C12" s="64" t="str">
        <f t="shared" si="5"/>
        <v>Jul 2019</v>
      </c>
      <c r="D12" s="64" t="str">
        <f t="shared" si="0"/>
        <v>Project 1</v>
      </c>
      <c r="E12" s="64" t="str">
        <f t="shared" si="1"/>
        <v>Monthly</v>
      </c>
      <c r="F12" s="64" t="str">
        <f t="shared" si="2"/>
        <v>Owner E</v>
      </c>
      <c r="G12" s="64" t="str">
        <f t="shared" si="6"/>
        <v>Jun</v>
      </c>
      <c r="H12" s="64" t="str">
        <f t="shared" si="7"/>
        <v>06</v>
      </c>
      <c r="I12" s="64">
        <f t="shared" si="8"/>
        <v>2019</v>
      </c>
      <c r="J12" s="64" t="str">
        <f t="shared" si="3"/>
        <v>1st Friday of each month</v>
      </c>
      <c r="K12" s="39" t="s">
        <v>82</v>
      </c>
    </row>
    <row r="13" spans="1:12" s="64" customFormat="1" ht="15" customHeight="1" x14ac:dyDescent="0.4">
      <c r="A13" s="64" t="str">
        <f t="array" ref="A13">TEXT(WORKDAY(CEILING(EOMONTH(DATE($B$1,8,1),-1)-5,7)+6-1,1,IF('Holiday (Dates to Exclude)'!$D:$D=VLOOKUP($F13,'Holiday (Dates to Exclude)'!$A:$B,2,0),'Holiday (Dates to Exclude)'!$E:$E,)),"MM/DD/YY")</f>
        <v>08/02/19</v>
      </c>
      <c r="B13" s="64" t="str">
        <f t="shared" si="4"/>
        <v>Fri</v>
      </c>
      <c r="C13" s="64" t="str">
        <f t="shared" si="5"/>
        <v>Aug 2019</v>
      </c>
      <c r="D13" s="64" t="str">
        <f t="shared" si="0"/>
        <v>Project 1</v>
      </c>
      <c r="E13" s="64" t="str">
        <f t="shared" si="1"/>
        <v>Monthly</v>
      </c>
      <c r="F13" s="64" t="str">
        <f t="shared" si="2"/>
        <v>Owner E</v>
      </c>
      <c r="G13" s="64" t="str">
        <f t="shared" si="6"/>
        <v>Jul</v>
      </c>
      <c r="H13" s="64" t="str">
        <f t="shared" si="7"/>
        <v>07</v>
      </c>
      <c r="I13" s="64">
        <f t="shared" si="8"/>
        <v>2019</v>
      </c>
      <c r="J13" s="64" t="str">
        <f t="shared" si="3"/>
        <v>1st Friday of each month</v>
      </c>
      <c r="K13" s="39" t="s">
        <v>82</v>
      </c>
    </row>
    <row r="14" spans="1:12" s="64" customFormat="1" ht="15" customHeight="1" x14ac:dyDescent="0.4">
      <c r="A14" s="64" t="str">
        <f t="array" ref="A14">TEXT(WORKDAY(CEILING(EOMONTH(DATE($B$1,9,1),-1)-5,7)+6-1,1,IF('Holiday (Dates to Exclude)'!$D:$D=VLOOKUP($F14,'Holiday (Dates to Exclude)'!$A:$B,2,0),'Holiday (Dates to Exclude)'!$E:$E,)),"MM/DD/YY")</f>
        <v>09/06/19</v>
      </c>
      <c r="B14" s="64" t="str">
        <f t="shared" si="4"/>
        <v>Fri</v>
      </c>
      <c r="C14" s="64" t="str">
        <f t="shared" si="5"/>
        <v>Sep 2019</v>
      </c>
      <c r="D14" s="64" t="str">
        <f t="shared" si="0"/>
        <v>Project 1</v>
      </c>
      <c r="E14" s="64" t="str">
        <f t="shared" si="1"/>
        <v>Monthly</v>
      </c>
      <c r="F14" s="64" t="str">
        <f t="shared" si="2"/>
        <v>Owner E</v>
      </c>
      <c r="G14" s="64" t="str">
        <f t="shared" si="6"/>
        <v>Aug</v>
      </c>
      <c r="H14" s="64" t="str">
        <f t="shared" si="7"/>
        <v>08</v>
      </c>
      <c r="I14" s="64">
        <f t="shared" si="8"/>
        <v>2019</v>
      </c>
      <c r="J14" s="64" t="str">
        <f t="shared" si="3"/>
        <v>1st Friday of each month</v>
      </c>
      <c r="K14" s="39" t="s">
        <v>82</v>
      </c>
    </row>
    <row r="15" spans="1:12" s="64" customFormat="1" ht="15" customHeight="1" x14ac:dyDescent="0.4">
      <c r="A15" s="64" t="str">
        <f t="array" ref="A15">TEXT(WORKDAY(CEILING(EOMONTH(DATE($B$1,10,1),-1)-5,7)+6-1,1,IF('Holiday (Dates to Exclude)'!$D:$D=VLOOKUP($F15,'Holiday (Dates to Exclude)'!$A:$B,2,0),'Holiday (Dates to Exclude)'!$E:$E,)),"MM/DD/YY")</f>
        <v>10/04/19</v>
      </c>
      <c r="B15" s="64" t="str">
        <f t="shared" si="4"/>
        <v>Fri</v>
      </c>
      <c r="C15" s="64" t="str">
        <f t="shared" si="5"/>
        <v>Oct 2019</v>
      </c>
      <c r="D15" s="64" t="str">
        <f t="shared" si="0"/>
        <v>Project 1</v>
      </c>
      <c r="E15" s="64" t="str">
        <f t="shared" si="1"/>
        <v>Monthly</v>
      </c>
      <c r="F15" s="64" t="str">
        <f t="shared" si="2"/>
        <v>Owner E</v>
      </c>
      <c r="G15" s="64" t="str">
        <f t="shared" si="6"/>
        <v>Sep</v>
      </c>
      <c r="H15" s="64" t="str">
        <f t="shared" si="7"/>
        <v>09</v>
      </c>
      <c r="I15" s="64">
        <f t="shared" si="8"/>
        <v>2019</v>
      </c>
      <c r="J15" s="64" t="str">
        <f t="shared" si="3"/>
        <v>1st Friday of each month</v>
      </c>
      <c r="K15" s="39" t="s">
        <v>82</v>
      </c>
    </row>
    <row r="16" spans="1:12" s="64" customFormat="1" ht="15" customHeight="1" x14ac:dyDescent="0.4">
      <c r="A16" s="64" t="str">
        <f t="array" ref="A16">TEXT(WORKDAY(CEILING(EOMONTH(DATE($B$1,11,1),-1)-5,7)+6-1,1,IF('Holiday (Dates to Exclude)'!$D:$D=VLOOKUP($F16,'Holiday (Dates to Exclude)'!$A:$B,2,0),'Holiday (Dates to Exclude)'!$E:$E,)),"MM/DD/YY")</f>
        <v>11/01/19</v>
      </c>
      <c r="B16" s="64" t="str">
        <f t="shared" si="4"/>
        <v>Fri</v>
      </c>
      <c r="C16" s="64" t="str">
        <f t="shared" si="5"/>
        <v>Nov 2019</v>
      </c>
      <c r="D16" s="64" t="str">
        <f t="shared" si="0"/>
        <v>Project 1</v>
      </c>
      <c r="E16" s="64" t="str">
        <f t="shared" si="1"/>
        <v>Monthly</v>
      </c>
      <c r="F16" s="64" t="str">
        <f t="shared" si="2"/>
        <v>Owner E</v>
      </c>
      <c r="G16" s="64" t="str">
        <f t="shared" si="6"/>
        <v>Oct</v>
      </c>
      <c r="H16" s="64" t="str">
        <f t="shared" si="7"/>
        <v>10</v>
      </c>
      <c r="I16" s="64">
        <f t="shared" si="8"/>
        <v>2019</v>
      </c>
      <c r="J16" s="64" t="str">
        <f t="shared" si="3"/>
        <v>1st Friday of each month</v>
      </c>
      <c r="K16" s="39" t="s">
        <v>82</v>
      </c>
    </row>
    <row r="17" spans="1:12" s="64" customFormat="1" ht="15" customHeight="1" x14ac:dyDescent="0.4">
      <c r="A17" s="64" t="str">
        <f>TEXT(WORKDAY(CEILING(EOMONTH(DATE($B$1,12,1),-1)-5,7)+6-1,1,IF('Holiday (Dates to Exclude)'!$D:$D=VLOOKUP($F17,'Holiday (Dates to Exclude)'!$A:$B,2,0),'Holiday (Dates to Exclude)'!$E:$E,)),"MM/DD/YY")</f>
        <v>12/06/19</v>
      </c>
      <c r="B17" s="64" t="str">
        <f t="shared" si="4"/>
        <v>Fri</v>
      </c>
      <c r="C17" s="64" t="str">
        <f t="shared" si="5"/>
        <v>Dec 2019</v>
      </c>
      <c r="D17" s="64" t="str">
        <f t="shared" si="0"/>
        <v>Project 1</v>
      </c>
      <c r="E17" s="64" t="str">
        <f t="shared" si="1"/>
        <v>Monthly</v>
      </c>
      <c r="F17" s="64" t="str">
        <f t="shared" si="2"/>
        <v>Owner E</v>
      </c>
      <c r="G17" s="64" t="str">
        <f t="shared" si="6"/>
        <v>Nov</v>
      </c>
      <c r="H17" s="64" t="str">
        <f t="shared" si="7"/>
        <v>11</v>
      </c>
      <c r="I17" s="64">
        <f t="shared" si="8"/>
        <v>2019</v>
      </c>
      <c r="J17" s="64" t="str">
        <f t="shared" si="3"/>
        <v>1st Friday of each month</v>
      </c>
      <c r="K17" s="39" t="s">
        <v>82</v>
      </c>
    </row>
    <row r="18" spans="1:12" s="64" customFormat="1" ht="15" customHeight="1" x14ac:dyDescent="0.4">
      <c r="K18" s="66"/>
    </row>
    <row r="19" spans="1:12" s="34" customFormat="1" ht="15" customHeight="1" x14ac:dyDescent="0.4">
      <c r="A19" s="35" t="s">
        <v>81</v>
      </c>
      <c r="B19" s="36"/>
      <c r="C19" s="36"/>
      <c r="D19" s="35"/>
      <c r="E19" s="35"/>
      <c r="F19" s="35"/>
      <c r="G19" s="35"/>
      <c r="H19" s="35"/>
      <c r="I19" s="35"/>
      <c r="J19" s="35"/>
      <c r="K19" s="39"/>
    </row>
    <row r="20" spans="1:12" s="39" customFormat="1" ht="15" customHeight="1" x14ac:dyDescent="0.4">
      <c r="A20" s="37" t="str">
        <f t="array" ref="A20">TEXT(WORKDAY(DATE($B$1,1,10)-1,1,IF('Holiday (Dates to Exclude)'!$D:$D=VLOOKUP($F20,'Holiday (Dates to Exclude)'!$A:$B,2,0),'Holiday (Dates to Exclude)'!$E:$E,)),"MM/DD/YY")</f>
        <v>01/10/19</v>
      </c>
      <c r="B20" s="64" t="str">
        <f t="shared" ref="B20:B31" si="9">TEXT($A20,"DDD")</f>
        <v>Thu</v>
      </c>
      <c r="C20" s="64" t="str">
        <f>TEXT(A20,"MMM YYYY")</f>
        <v>Jan 2019</v>
      </c>
      <c r="D20" s="37" t="s">
        <v>171</v>
      </c>
      <c r="E20" s="37" t="s">
        <v>44</v>
      </c>
      <c r="F20" s="37" t="s">
        <v>160</v>
      </c>
      <c r="G20" s="64" t="str">
        <f>TEXT(EDATE($A20,-2),"MMM")</f>
        <v>Nov</v>
      </c>
      <c r="H20" s="64" t="str">
        <f>TEXT(EOMONTH($A20,-2),"MM")</f>
        <v>11</v>
      </c>
      <c r="I20" s="64">
        <f>YEAR(A20)</f>
        <v>2019</v>
      </c>
      <c r="J20" s="37" t="s">
        <v>40</v>
      </c>
      <c r="K20" s="39" t="s">
        <v>82</v>
      </c>
    </row>
    <row r="21" spans="1:12" s="34" customFormat="1" ht="15" customHeight="1" x14ac:dyDescent="0.4">
      <c r="A21" s="37" t="str">
        <f t="array" ref="A21">TEXT(WORKDAY(DATE($B$1,2,10)-1,1,IF('Holiday (Dates to Exclude)'!$D:$D=VLOOKUP($F21,'Holiday (Dates to Exclude)'!$A:$B,2,0),'Holiday (Dates to Exclude)'!$E:$E,)),"MM/DD/YY")</f>
        <v>02/11/19</v>
      </c>
      <c r="B21" s="64" t="str">
        <f t="shared" si="9"/>
        <v>Mon</v>
      </c>
      <c r="C21" s="64" t="str">
        <f t="shared" ref="C21:C31" si="10">TEXT(A21,"MMM YYYY")</f>
        <v>Feb 2019</v>
      </c>
      <c r="D21" s="37" t="s">
        <v>171</v>
      </c>
      <c r="E21" s="37" t="s">
        <v>44</v>
      </c>
      <c r="F21" s="37" t="s">
        <v>160</v>
      </c>
      <c r="G21" s="64" t="str">
        <f t="shared" ref="G21:G31" si="11">TEXT(EDATE($A21,-2),"MMM")</f>
        <v>Dec</v>
      </c>
      <c r="H21" s="64" t="str">
        <f t="shared" ref="H21:H31" si="12">TEXT(EOMONTH($A21,-2),"MM")</f>
        <v>12</v>
      </c>
      <c r="I21" s="64">
        <f t="shared" ref="I21:I31" si="13">YEAR(A21)</f>
        <v>2019</v>
      </c>
      <c r="J21" s="37" t="s">
        <v>40</v>
      </c>
      <c r="K21" s="39" t="s">
        <v>82</v>
      </c>
    </row>
    <row r="22" spans="1:12" s="34" customFormat="1" ht="15" customHeight="1" x14ac:dyDescent="0.4">
      <c r="A22" s="37" t="str">
        <f t="array" ref="A22">TEXT(WORKDAY(DATE($B$1,3,10)-1,1,IF('Holiday (Dates to Exclude)'!$D:$D=VLOOKUP($F22,'Holiday (Dates to Exclude)'!$A:$B,2,0),'Holiday (Dates to Exclude)'!$E:$E,)),"MM/DD/YY")</f>
        <v>03/11/19</v>
      </c>
      <c r="B22" s="64" t="str">
        <f t="shared" si="9"/>
        <v>Mon</v>
      </c>
      <c r="C22" s="64" t="str">
        <f t="shared" si="10"/>
        <v>Mar 2019</v>
      </c>
      <c r="D22" s="37" t="s">
        <v>171</v>
      </c>
      <c r="E22" s="37" t="s">
        <v>44</v>
      </c>
      <c r="F22" s="37" t="s">
        <v>160</v>
      </c>
      <c r="G22" s="64" t="str">
        <f t="shared" si="11"/>
        <v>Jan</v>
      </c>
      <c r="H22" s="64" t="str">
        <f t="shared" si="12"/>
        <v>01</v>
      </c>
      <c r="I22" s="64">
        <f t="shared" si="13"/>
        <v>2019</v>
      </c>
      <c r="J22" s="37" t="s">
        <v>40</v>
      </c>
      <c r="K22" s="39" t="s">
        <v>82</v>
      </c>
    </row>
    <row r="23" spans="1:12" s="34" customFormat="1" ht="15" customHeight="1" x14ac:dyDescent="0.4">
      <c r="A23" s="37" t="str">
        <f t="array" ref="A23">TEXT(WORKDAY(DATE($B$1,4,10)-1,1,IF('Holiday (Dates to Exclude)'!$D:$D=VLOOKUP($F23,'Holiday (Dates to Exclude)'!$A:$B,2,0),'Holiday (Dates to Exclude)'!$E:$E,)),"MM/DD/YY")</f>
        <v>04/10/19</v>
      </c>
      <c r="B23" s="64" t="str">
        <f t="shared" si="9"/>
        <v>Wed</v>
      </c>
      <c r="C23" s="64" t="str">
        <f t="shared" si="10"/>
        <v>Apr 2019</v>
      </c>
      <c r="D23" s="37" t="s">
        <v>171</v>
      </c>
      <c r="E23" s="37" t="s">
        <v>44</v>
      </c>
      <c r="F23" s="37" t="s">
        <v>160</v>
      </c>
      <c r="G23" s="64" t="str">
        <f t="shared" si="11"/>
        <v>Feb</v>
      </c>
      <c r="H23" s="64" t="str">
        <f t="shared" si="12"/>
        <v>02</v>
      </c>
      <c r="I23" s="64">
        <f t="shared" si="13"/>
        <v>2019</v>
      </c>
      <c r="J23" s="37" t="s">
        <v>40</v>
      </c>
      <c r="K23" s="39" t="s">
        <v>82</v>
      </c>
    </row>
    <row r="24" spans="1:12" s="34" customFormat="1" ht="15" customHeight="1" x14ac:dyDescent="0.4">
      <c r="A24" s="37" t="str">
        <f t="array" ref="A24">TEXT(WORKDAY(DATE($B$1,5,10)-1,1,IF('Holiday (Dates to Exclude)'!$D:$D=VLOOKUP($F24,'Holiday (Dates to Exclude)'!$A:$B,2,0),'Holiday (Dates to Exclude)'!$E:$E,)),"MM/DD/YY")</f>
        <v>05/10/19</v>
      </c>
      <c r="B24" s="64" t="str">
        <f t="shared" si="9"/>
        <v>Fri</v>
      </c>
      <c r="C24" s="64" t="str">
        <f t="shared" si="10"/>
        <v>May 2019</v>
      </c>
      <c r="D24" s="37" t="s">
        <v>171</v>
      </c>
      <c r="E24" s="37" t="s">
        <v>44</v>
      </c>
      <c r="F24" s="37" t="s">
        <v>160</v>
      </c>
      <c r="G24" s="64" t="str">
        <f t="shared" si="11"/>
        <v>Mar</v>
      </c>
      <c r="H24" s="64" t="str">
        <f t="shared" si="12"/>
        <v>03</v>
      </c>
      <c r="I24" s="64">
        <f t="shared" si="13"/>
        <v>2019</v>
      </c>
      <c r="J24" s="37" t="s">
        <v>40</v>
      </c>
      <c r="K24" s="39" t="s">
        <v>82</v>
      </c>
    </row>
    <row r="25" spans="1:12" s="34" customFormat="1" ht="15" customHeight="1" x14ac:dyDescent="0.4">
      <c r="A25" s="37" t="str">
        <f t="array" ref="A25">TEXT(WORKDAY(DATE($B$1,6,10)-1,1,IF('Holiday (Dates to Exclude)'!$D:$D=VLOOKUP($F25,'Holiday (Dates to Exclude)'!$A:$B,2,0),'Holiday (Dates to Exclude)'!$E:$E,)),"MM/DD/YY")</f>
        <v>06/10/19</v>
      </c>
      <c r="B25" s="64" t="str">
        <f t="shared" si="9"/>
        <v>Mon</v>
      </c>
      <c r="C25" s="64" t="str">
        <f t="shared" si="10"/>
        <v>Jun 2019</v>
      </c>
      <c r="D25" s="37" t="s">
        <v>171</v>
      </c>
      <c r="E25" s="37" t="s">
        <v>44</v>
      </c>
      <c r="F25" s="37" t="s">
        <v>160</v>
      </c>
      <c r="G25" s="64" t="str">
        <f t="shared" si="11"/>
        <v>Apr</v>
      </c>
      <c r="H25" s="64" t="str">
        <f t="shared" si="12"/>
        <v>04</v>
      </c>
      <c r="I25" s="64">
        <f t="shared" si="13"/>
        <v>2019</v>
      </c>
      <c r="J25" s="37" t="s">
        <v>40</v>
      </c>
      <c r="K25" s="39" t="s">
        <v>82</v>
      </c>
      <c r="L25" s="39" t="s">
        <v>84</v>
      </c>
    </row>
    <row r="26" spans="1:12" s="34" customFormat="1" ht="15" customHeight="1" x14ac:dyDescent="0.4">
      <c r="A26" s="37" t="str">
        <f t="array" ref="A26">TEXT(WORKDAY(DATE($B$1,7,10)-1,1,IF('Holiday (Dates to Exclude)'!$D:$D=VLOOKUP($F26,'Holiday (Dates to Exclude)'!$A:$B,2,0),'Holiday (Dates to Exclude)'!$E:$E,)),"MM/DD/YY")</f>
        <v>07/10/19</v>
      </c>
      <c r="B26" s="64" t="str">
        <f t="shared" si="9"/>
        <v>Wed</v>
      </c>
      <c r="C26" s="64" t="str">
        <f t="shared" si="10"/>
        <v>Jul 2019</v>
      </c>
      <c r="D26" s="37" t="s">
        <v>171</v>
      </c>
      <c r="E26" s="37" t="s">
        <v>44</v>
      </c>
      <c r="F26" s="37" t="s">
        <v>160</v>
      </c>
      <c r="G26" s="64" t="str">
        <f t="shared" si="11"/>
        <v>May</v>
      </c>
      <c r="H26" s="64" t="str">
        <f t="shared" si="12"/>
        <v>05</v>
      </c>
      <c r="I26" s="64">
        <f t="shared" si="13"/>
        <v>2019</v>
      </c>
      <c r="J26" s="37" t="s">
        <v>40</v>
      </c>
      <c r="K26" s="39" t="s">
        <v>82</v>
      </c>
    </row>
    <row r="27" spans="1:12" s="34" customFormat="1" ht="15" customHeight="1" x14ac:dyDescent="0.4">
      <c r="A27" s="37" t="str">
        <f t="array" ref="A27">TEXT(WORKDAY(DATE($B$1,8,10)-1,1,IF('Holiday (Dates to Exclude)'!$D:$D=VLOOKUP($F27,'Holiday (Dates to Exclude)'!$A:$B,2,0),'Holiday (Dates to Exclude)'!$E:$E,)),"MM/DD/YY")</f>
        <v>08/12/19</v>
      </c>
      <c r="B27" s="64" t="str">
        <f t="shared" si="9"/>
        <v>Mon</v>
      </c>
      <c r="C27" s="64" t="str">
        <f t="shared" si="10"/>
        <v>Aug 2019</v>
      </c>
      <c r="D27" s="37" t="s">
        <v>171</v>
      </c>
      <c r="E27" s="37" t="s">
        <v>44</v>
      </c>
      <c r="F27" s="37" t="s">
        <v>160</v>
      </c>
      <c r="G27" s="64" t="str">
        <f t="shared" si="11"/>
        <v>Jun</v>
      </c>
      <c r="H27" s="64" t="str">
        <f t="shared" si="12"/>
        <v>06</v>
      </c>
      <c r="I27" s="64">
        <f t="shared" si="13"/>
        <v>2019</v>
      </c>
      <c r="J27" s="37" t="s">
        <v>40</v>
      </c>
      <c r="K27" s="39" t="s">
        <v>82</v>
      </c>
    </row>
    <row r="28" spans="1:12" s="34" customFormat="1" ht="15" customHeight="1" x14ac:dyDescent="0.4">
      <c r="A28" s="37" t="str">
        <f>TEXT(WORKDAY(DATE($B$1,9,10)-1,1,IF('Holiday (Dates to Exclude)'!$D:$D=VLOOKUP($F28,'Holiday (Dates to Exclude)'!$A:$B,2,0),'Holiday (Dates to Exclude)'!$E:$E,)),"MM/DD/YY")</f>
        <v>09/10/19</v>
      </c>
      <c r="B28" s="64" t="str">
        <f t="shared" si="9"/>
        <v>Tue</v>
      </c>
      <c r="C28" s="64" t="str">
        <f t="shared" si="10"/>
        <v>Sep 2019</v>
      </c>
      <c r="D28" s="37" t="s">
        <v>171</v>
      </c>
      <c r="E28" s="37" t="s">
        <v>44</v>
      </c>
      <c r="F28" s="37" t="s">
        <v>160</v>
      </c>
      <c r="G28" s="64" t="str">
        <f t="shared" si="11"/>
        <v>Jul</v>
      </c>
      <c r="H28" s="64" t="str">
        <f t="shared" si="12"/>
        <v>07</v>
      </c>
      <c r="I28" s="64">
        <f t="shared" si="13"/>
        <v>2019</v>
      </c>
      <c r="J28" s="37" t="s">
        <v>40</v>
      </c>
      <c r="K28" s="39" t="s">
        <v>82</v>
      </c>
    </row>
    <row r="29" spans="1:12" s="34" customFormat="1" ht="15" customHeight="1" x14ac:dyDescent="0.4">
      <c r="A29" s="37" t="str">
        <f>TEXT(WORKDAY(DATE($B$1,10,10)-1,1,IF('Holiday (Dates to Exclude)'!$D:$D=VLOOKUP($F29,'Holiday (Dates to Exclude)'!$A:$B,2,0),'Holiday (Dates to Exclude)'!$E:$E,)),"MM/DD/YY")</f>
        <v>10/10/19</v>
      </c>
      <c r="B29" s="64" t="str">
        <f t="shared" si="9"/>
        <v>Thu</v>
      </c>
      <c r="C29" s="64" t="str">
        <f t="shared" si="10"/>
        <v>Oct 2019</v>
      </c>
      <c r="D29" s="37" t="s">
        <v>171</v>
      </c>
      <c r="E29" s="37" t="s">
        <v>44</v>
      </c>
      <c r="F29" s="37" t="s">
        <v>160</v>
      </c>
      <c r="G29" s="64" t="str">
        <f t="shared" si="11"/>
        <v>Aug</v>
      </c>
      <c r="H29" s="64" t="str">
        <f t="shared" si="12"/>
        <v>08</v>
      </c>
      <c r="I29" s="64">
        <f t="shared" si="13"/>
        <v>2019</v>
      </c>
      <c r="J29" s="37" t="s">
        <v>40</v>
      </c>
      <c r="K29" s="39" t="s">
        <v>82</v>
      </c>
    </row>
    <row r="30" spans="1:12" s="34" customFormat="1" ht="15" customHeight="1" x14ac:dyDescent="0.4">
      <c r="A30" s="37" t="str">
        <f>TEXT(WORKDAY(DATE($B$1,11,10)-1,1,IF('Holiday (Dates to Exclude)'!$D:$D=VLOOKUP($F30,'Holiday (Dates to Exclude)'!$A:$B,2,0),'Holiday (Dates to Exclude)'!$E:$E,)),"MM/DD/YY")</f>
        <v>11/11/19</v>
      </c>
      <c r="B30" s="64" t="str">
        <f t="shared" si="9"/>
        <v>Mon</v>
      </c>
      <c r="C30" s="64" t="str">
        <f t="shared" si="10"/>
        <v>Nov 2019</v>
      </c>
      <c r="D30" s="37" t="s">
        <v>171</v>
      </c>
      <c r="E30" s="37" t="s">
        <v>44</v>
      </c>
      <c r="F30" s="37" t="s">
        <v>160</v>
      </c>
      <c r="G30" s="64" t="str">
        <f t="shared" si="11"/>
        <v>Sep</v>
      </c>
      <c r="H30" s="64" t="str">
        <f t="shared" si="12"/>
        <v>09</v>
      </c>
      <c r="I30" s="64">
        <f t="shared" si="13"/>
        <v>2019</v>
      </c>
      <c r="J30" s="37" t="s">
        <v>40</v>
      </c>
      <c r="K30" s="39" t="s">
        <v>82</v>
      </c>
    </row>
    <row r="31" spans="1:12" s="34" customFormat="1" ht="15" customHeight="1" x14ac:dyDescent="0.4">
      <c r="A31" s="37" t="str">
        <f>TEXT(WORKDAY(DATE($B$1,12,10)-1,1,IF('Holiday (Dates to Exclude)'!$D:$D=VLOOKUP($F31,'Holiday (Dates to Exclude)'!$A:$B,2,0),'Holiday (Dates to Exclude)'!$E:$E,)),"MM/DD/YY")</f>
        <v>12/10/19</v>
      </c>
      <c r="B31" s="64" t="str">
        <f t="shared" si="9"/>
        <v>Tue</v>
      </c>
      <c r="C31" s="64" t="str">
        <f t="shared" si="10"/>
        <v>Dec 2019</v>
      </c>
      <c r="D31" s="37" t="s">
        <v>171</v>
      </c>
      <c r="E31" s="37" t="s">
        <v>44</v>
      </c>
      <c r="F31" s="37" t="s">
        <v>160</v>
      </c>
      <c r="G31" s="64" t="str">
        <f t="shared" si="11"/>
        <v>Oct</v>
      </c>
      <c r="H31" s="64" t="str">
        <f t="shared" si="12"/>
        <v>10</v>
      </c>
      <c r="I31" s="64">
        <f t="shared" si="13"/>
        <v>2019</v>
      </c>
      <c r="J31" s="37" t="s">
        <v>40</v>
      </c>
      <c r="K31" s="39" t="s">
        <v>82</v>
      </c>
    </row>
    <row r="32" spans="1:12" s="64" customFormat="1" ht="15" customHeight="1" x14ac:dyDescent="0.4">
      <c r="K32" s="66"/>
    </row>
    <row r="33" spans="1:12" s="34" customFormat="1" ht="15" customHeight="1" x14ac:dyDescent="0.4">
      <c r="A33" s="35" t="s">
        <v>85</v>
      </c>
      <c r="B33" s="36"/>
      <c r="C33" s="36"/>
      <c r="D33" s="35"/>
      <c r="E33" s="35"/>
      <c r="F33" s="35"/>
      <c r="G33" s="35"/>
      <c r="H33" s="35"/>
      <c r="I33" s="35"/>
      <c r="J33" s="35"/>
      <c r="K33" s="39"/>
    </row>
    <row r="34" spans="1:12" s="39" customFormat="1" ht="15" customHeight="1" x14ac:dyDescent="0.4">
      <c r="A34" s="37" t="str">
        <f t="array" ref="A34">TEXT(WORKDAY(DATE($B$1,1,11)-1,1,IF('Holiday (Dates to Exclude)'!$D:$D=VLOOKUP($F34,'Holiday (Dates to Exclude)'!$A:$B,2,0),'Holiday (Dates to Exclude)'!$E:$E,)),"MM/DD/YY")</f>
        <v>01/11/19</v>
      </c>
      <c r="B34" s="64" t="str">
        <f t="shared" ref="B34:B59" si="14">TEXT($A34,"DDD")</f>
        <v>Fri</v>
      </c>
      <c r="C34" s="64" t="str">
        <f>TEXT(A34,"MMM YYYY")</f>
        <v>Jan 2019</v>
      </c>
      <c r="D34" s="37" t="s">
        <v>172</v>
      </c>
      <c r="E34" s="37" t="s">
        <v>44</v>
      </c>
      <c r="F34" s="37" t="s">
        <v>148</v>
      </c>
      <c r="G34" s="64" t="str">
        <f t="shared" ref="G34:G45" si="15">TEXT(EDATE($A34,-2),"MMM")</f>
        <v>Nov</v>
      </c>
      <c r="H34" s="64" t="str">
        <f t="shared" ref="H34:H45" si="16">TEXT(EOMONTH($A34,-2),"MM")</f>
        <v>11</v>
      </c>
      <c r="I34" s="64">
        <f t="shared" ref="I34:I45" si="17">YEAR(A34)</f>
        <v>2019</v>
      </c>
      <c r="J34" s="37" t="s">
        <v>45</v>
      </c>
      <c r="K34" s="39" t="s">
        <v>82</v>
      </c>
    </row>
    <row r="35" spans="1:12" s="39" customFormat="1" ht="15" customHeight="1" x14ac:dyDescent="0.4">
      <c r="A35" s="37" t="str">
        <f t="array" ref="A35">TEXT(WORKDAY(DATE($B$1,2,11)-1,1,IF('Holiday (Dates to Exclude)'!$D:$D=VLOOKUP($F35,'Holiday (Dates to Exclude)'!$A:$B,2,0),'Holiday (Dates to Exclude)'!$E:$E,)),"MM/DD/YY")</f>
        <v>02/11/19</v>
      </c>
      <c r="B35" s="64" t="str">
        <f t="shared" si="14"/>
        <v>Mon</v>
      </c>
      <c r="C35" s="64" t="str">
        <f t="shared" ref="C35:C45" si="18">TEXT(A35,"MMM YYYY")</f>
        <v>Feb 2019</v>
      </c>
      <c r="D35" s="37" t="s">
        <v>172</v>
      </c>
      <c r="E35" s="37" t="s">
        <v>44</v>
      </c>
      <c r="F35" s="37" t="s">
        <v>148</v>
      </c>
      <c r="G35" s="64" t="str">
        <f t="shared" si="15"/>
        <v>Dec</v>
      </c>
      <c r="H35" s="64" t="str">
        <f t="shared" si="16"/>
        <v>12</v>
      </c>
      <c r="I35" s="64">
        <f t="shared" si="17"/>
        <v>2019</v>
      </c>
      <c r="J35" s="37" t="s">
        <v>45</v>
      </c>
      <c r="K35" s="39" t="s">
        <v>82</v>
      </c>
      <c r="L35" s="39" t="s">
        <v>87</v>
      </c>
    </row>
    <row r="36" spans="1:12" s="39" customFormat="1" ht="15" customHeight="1" x14ac:dyDescent="0.4">
      <c r="A36" s="37" t="str">
        <f t="array" ref="A36">TEXT(WORKDAY(DATE($B$1,3,11)-1,1,IF('Holiday (Dates to Exclude)'!$D:$D=VLOOKUP($F36,'Holiday (Dates to Exclude)'!$A:$B,2,0),'Holiday (Dates to Exclude)'!$E:$E,)),"MM/DD/YY")</f>
        <v>03/11/19</v>
      </c>
      <c r="B36" s="64" t="str">
        <f t="shared" si="14"/>
        <v>Mon</v>
      </c>
      <c r="C36" s="64" t="str">
        <f t="shared" si="18"/>
        <v>Mar 2019</v>
      </c>
      <c r="D36" s="37" t="s">
        <v>172</v>
      </c>
      <c r="E36" s="37" t="s">
        <v>44</v>
      </c>
      <c r="F36" s="37" t="s">
        <v>148</v>
      </c>
      <c r="G36" s="64" t="str">
        <f t="shared" si="15"/>
        <v>Jan</v>
      </c>
      <c r="H36" s="64" t="str">
        <f t="shared" si="16"/>
        <v>01</v>
      </c>
      <c r="I36" s="64">
        <f t="shared" si="17"/>
        <v>2019</v>
      </c>
      <c r="J36" s="37" t="s">
        <v>45</v>
      </c>
      <c r="K36" s="39" t="s">
        <v>82</v>
      </c>
      <c r="L36" s="39" t="s">
        <v>87</v>
      </c>
    </row>
    <row r="37" spans="1:12" s="39" customFormat="1" ht="15" customHeight="1" x14ac:dyDescent="0.4">
      <c r="A37" s="37" t="str">
        <f t="array" ref="A37">TEXT(WORKDAY(DATE($B$1,4,11)-1,1,IF('Holiday (Dates to Exclude)'!$D:$D=VLOOKUP($F37,'Holiday (Dates to Exclude)'!$A:$B,2,0),'Holiday (Dates to Exclude)'!$E:$E,)),"MM/DD/YY")</f>
        <v>04/11/19</v>
      </c>
      <c r="B37" s="64" t="str">
        <f t="shared" si="14"/>
        <v>Thu</v>
      </c>
      <c r="C37" s="64" t="str">
        <f t="shared" si="18"/>
        <v>Apr 2019</v>
      </c>
      <c r="D37" s="37" t="s">
        <v>172</v>
      </c>
      <c r="E37" s="37" t="s">
        <v>44</v>
      </c>
      <c r="F37" s="37" t="s">
        <v>148</v>
      </c>
      <c r="G37" s="64" t="str">
        <f t="shared" si="15"/>
        <v>Feb</v>
      </c>
      <c r="H37" s="64" t="str">
        <f t="shared" si="16"/>
        <v>02</v>
      </c>
      <c r="I37" s="64">
        <f t="shared" si="17"/>
        <v>2019</v>
      </c>
      <c r="J37" s="37" t="s">
        <v>45</v>
      </c>
      <c r="K37" s="39" t="s">
        <v>82</v>
      </c>
    </row>
    <row r="38" spans="1:12" s="39" customFormat="1" ht="15" customHeight="1" x14ac:dyDescent="0.4">
      <c r="A38" s="37" t="str">
        <f t="array" ref="A38">TEXT(WORKDAY(DATE($B$1,5,11)-1,1,IF('Holiday (Dates to Exclude)'!$D:$D=VLOOKUP($F38,'Holiday (Dates to Exclude)'!$A:$B,2,0),'Holiday (Dates to Exclude)'!$E:$E,)),"MM/DD/YY")</f>
        <v>05/13/19</v>
      </c>
      <c r="B38" s="64" t="str">
        <f t="shared" si="14"/>
        <v>Mon</v>
      </c>
      <c r="C38" s="64" t="str">
        <f t="shared" si="18"/>
        <v>May 2019</v>
      </c>
      <c r="D38" s="37" t="s">
        <v>172</v>
      </c>
      <c r="E38" s="37" t="s">
        <v>44</v>
      </c>
      <c r="F38" s="37" t="s">
        <v>148</v>
      </c>
      <c r="G38" s="64" t="str">
        <f t="shared" si="15"/>
        <v>Mar</v>
      </c>
      <c r="H38" s="64" t="str">
        <f t="shared" si="16"/>
        <v>03</v>
      </c>
      <c r="I38" s="64">
        <f t="shared" si="17"/>
        <v>2019</v>
      </c>
      <c r="J38" s="37" t="s">
        <v>45</v>
      </c>
      <c r="K38" s="39" t="s">
        <v>82</v>
      </c>
    </row>
    <row r="39" spans="1:12" s="39" customFormat="1" ht="15" customHeight="1" x14ac:dyDescent="0.4">
      <c r="A39" s="37" t="str">
        <f t="array" ref="A39">TEXT(WORKDAY(DATE($B$1,6,11)-1,1,IF('Holiday (Dates to Exclude)'!$D:$D=VLOOKUP($F39,'Holiday (Dates to Exclude)'!$A:$B,2,0),'Holiday (Dates to Exclude)'!$E:$E,)),"MM/DD/YY")</f>
        <v>06/11/19</v>
      </c>
      <c r="B39" s="64" t="str">
        <f t="shared" si="14"/>
        <v>Tue</v>
      </c>
      <c r="C39" s="64" t="str">
        <f t="shared" si="18"/>
        <v>Jun 2019</v>
      </c>
      <c r="D39" s="37" t="s">
        <v>172</v>
      </c>
      <c r="E39" s="37" t="s">
        <v>44</v>
      </c>
      <c r="F39" s="37" t="s">
        <v>148</v>
      </c>
      <c r="G39" s="64" t="str">
        <f t="shared" si="15"/>
        <v>Apr</v>
      </c>
      <c r="H39" s="64" t="str">
        <f t="shared" si="16"/>
        <v>04</v>
      </c>
      <c r="I39" s="64">
        <f t="shared" si="17"/>
        <v>2019</v>
      </c>
      <c r="J39" s="37" t="s">
        <v>45</v>
      </c>
      <c r="K39" s="39" t="s">
        <v>82</v>
      </c>
      <c r="L39" s="39" t="s">
        <v>87</v>
      </c>
    </row>
    <row r="40" spans="1:12" s="39" customFormat="1" ht="15" customHeight="1" x14ac:dyDescent="0.4">
      <c r="A40" s="37" t="str">
        <f t="array" ref="A40">TEXT(WORKDAY(DATE($B$1,7,11)-1,1,IF('Holiday (Dates to Exclude)'!$D:$D=VLOOKUP($F40,'Holiday (Dates to Exclude)'!$A:$B,2,0),'Holiday (Dates to Exclude)'!$E:$E,)),"MM/DD/YY")</f>
        <v>07/11/19</v>
      </c>
      <c r="B40" s="64" t="str">
        <f t="shared" si="14"/>
        <v>Thu</v>
      </c>
      <c r="C40" s="64" t="str">
        <f t="shared" si="18"/>
        <v>Jul 2019</v>
      </c>
      <c r="D40" s="37" t="s">
        <v>172</v>
      </c>
      <c r="E40" s="37" t="s">
        <v>44</v>
      </c>
      <c r="F40" s="37" t="s">
        <v>148</v>
      </c>
      <c r="G40" s="64" t="str">
        <f t="shared" si="15"/>
        <v>May</v>
      </c>
      <c r="H40" s="64" t="str">
        <f t="shared" si="16"/>
        <v>05</v>
      </c>
      <c r="I40" s="64">
        <f t="shared" si="17"/>
        <v>2019</v>
      </c>
      <c r="J40" s="37" t="s">
        <v>45</v>
      </c>
      <c r="K40" s="39" t="s">
        <v>82</v>
      </c>
    </row>
    <row r="41" spans="1:12" s="39" customFormat="1" ht="15" customHeight="1" x14ac:dyDescent="0.4">
      <c r="A41" s="37" t="str">
        <f t="array" ref="A41">TEXT(WORKDAY(DATE($B$1,8,11)-1,1,IF('Holiday (Dates to Exclude)'!$D:$D=VLOOKUP($F41,'Holiday (Dates to Exclude)'!$A:$B,2,0),'Holiday (Dates to Exclude)'!$E:$E,)),"MM/DD/YY")</f>
        <v>08/12/19</v>
      </c>
      <c r="B41" s="64" t="str">
        <f t="shared" si="14"/>
        <v>Mon</v>
      </c>
      <c r="C41" s="64" t="str">
        <f t="shared" si="18"/>
        <v>Aug 2019</v>
      </c>
      <c r="D41" s="37" t="s">
        <v>172</v>
      </c>
      <c r="E41" s="37" t="s">
        <v>44</v>
      </c>
      <c r="F41" s="37" t="s">
        <v>148</v>
      </c>
      <c r="G41" s="64" t="str">
        <f t="shared" si="15"/>
        <v>Jun</v>
      </c>
      <c r="H41" s="64" t="str">
        <f t="shared" si="16"/>
        <v>06</v>
      </c>
      <c r="I41" s="64">
        <f t="shared" si="17"/>
        <v>2019</v>
      </c>
      <c r="J41" s="37" t="s">
        <v>45</v>
      </c>
      <c r="K41" s="39" t="s">
        <v>82</v>
      </c>
    </row>
    <row r="42" spans="1:12" s="39" customFormat="1" ht="15" customHeight="1" x14ac:dyDescent="0.4">
      <c r="A42" s="37" t="str">
        <f t="array" ref="A42">TEXT(WORKDAY(DATE($B$1,9,11)-1,1,IF('Holiday (Dates to Exclude)'!$D:$D=VLOOKUP($F42,'Holiday (Dates to Exclude)'!$A:$B,2,0),'Holiday (Dates to Exclude)'!$E:$E,)),"MM/DD/YY")</f>
        <v>09/11/19</v>
      </c>
      <c r="B42" s="64" t="str">
        <f t="shared" si="14"/>
        <v>Wed</v>
      </c>
      <c r="C42" s="64" t="str">
        <f t="shared" si="18"/>
        <v>Sep 2019</v>
      </c>
      <c r="D42" s="37" t="s">
        <v>172</v>
      </c>
      <c r="E42" s="37" t="s">
        <v>44</v>
      </c>
      <c r="F42" s="37" t="s">
        <v>148</v>
      </c>
      <c r="G42" s="64" t="str">
        <f t="shared" si="15"/>
        <v>Jul</v>
      </c>
      <c r="H42" s="64" t="str">
        <f t="shared" si="16"/>
        <v>07</v>
      </c>
      <c r="I42" s="64">
        <f t="shared" si="17"/>
        <v>2019</v>
      </c>
      <c r="J42" s="37" t="s">
        <v>45</v>
      </c>
      <c r="K42" s="39" t="s">
        <v>82</v>
      </c>
    </row>
    <row r="43" spans="1:12" s="39" customFormat="1" ht="15" customHeight="1" x14ac:dyDescent="0.4">
      <c r="A43" s="37" t="str">
        <f t="array" ref="A43">TEXT(WORKDAY(DATE($B$1,10,11)-1,1,IF('Holiday (Dates to Exclude)'!$D:$D=VLOOKUP($F43,'Holiday (Dates to Exclude)'!$A:$B,2,0),'Holiday (Dates to Exclude)'!$E:$E,)),"MM/DD/YY")</f>
        <v>10/11/19</v>
      </c>
      <c r="B43" s="64" t="str">
        <f t="shared" si="14"/>
        <v>Fri</v>
      </c>
      <c r="C43" s="64" t="str">
        <f t="shared" si="18"/>
        <v>Oct 2019</v>
      </c>
      <c r="D43" s="37" t="s">
        <v>172</v>
      </c>
      <c r="E43" s="37" t="s">
        <v>44</v>
      </c>
      <c r="F43" s="37" t="s">
        <v>148</v>
      </c>
      <c r="G43" s="64" t="str">
        <f t="shared" si="15"/>
        <v>Aug</v>
      </c>
      <c r="H43" s="64" t="str">
        <f t="shared" si="16"/>
        <v>08</v>
      </c>
      <c r="I43" s="64">
        <f t="shared" si="17"/>
        <v>2019</v>
      </c>
      <c r="J43" s="37" t="s">
        <v>45</v>
      </c>
      <c r="K43" s="39" t="s">
        <v>82</v>
      </c>
    </row>
    <row r="44" spans="1:12" s="39" customFormat="1" ht="15" customHeight="1" x14ac:dyDescent="0.4">
      <c r="A44" s="37" t="str">
        <f t="array" ref="A44">TEXT(WORKDAY(DATE($B$1,11,11)-1,1,IF('Holiday (Dates to Exclude)'!$D:$D=VLOOKUP($F44,'Holiday (Dates to Exclude)'!$A:$B,2,0),'Holiday (Dates to Exclude)'!$E:$E,)),"MM/DD/YY")</f>
        <v>11/11/19</v>
      </c>
      <c r="B44" s="64" t="str">
        <f t="shared" si="14"/>
        <v>Mon</v>
      </c>
      <c r="C44" s="64" t="str">
        <f t="shared" si="18"/>
        <v>Nov 2019</v>
      </c>
      <c r="D44" s="37" t="s">
        <v>172</v>
      </c>
      <c r="E44" s="37" t="s">
        <v>44</v>
      </c>
      <c r="F44" s="37" t="s">
        <v>148</v>
      </c>
      <c r="G44" s="64" t="str">
        <f t="shared" si="15"/>
        <v>Sep</v>
      </c>
      <c r="H44" s="64" t="str">
        <f t="shared" si="16"/>
        <v>09</v>
      </c>
      <c r="I44" s="64">
        <f t="shared" si="17"/>
        <v>2019</v>
      </c>
      <c r="J44" s="37" t="s">
        <v>45</v>
      </c>
      <c r="K44" s="39" t="s">
        <v>82</v>
      </c>
      <c r="L44" s="39" t="s">
        <v>87</v>
      </c>
    </row>
    <row r="45" spans="1:12" s="39" customFormat="1" ht="15" customHeight="1" x14ac:dyDescent="0.4">
      <c r="A45" s="37" t="str">
        <f t="array" ref="A45">TEXT(WORKDAY(DATE($B$1,12,11)-1,1,IF('Holiday (Dates to Exclude)'!$D:$D=VLOOKUP($F45,'Holiday (Dates to Exclude)'!$A:$B,2,0),'Holiday (Dates to Exclude)'!$E:$E,)),"MM/DD/YY")</f>
        <v>12/11/19</v>
      </c>
      <c r="B45" s="64" t="str">
        <f t="shared" si="14"/>
        <v>Wed</v>
      </c>
      <c r="C45" s="64" t="str">
        <f t="shared" si="18"/>
        <v>Dec 2019</v>
      </c>
      <c r="D45" s="37" t="s">
        <v>172</v>
      </c>
      <c r="E45" s="37" t="s">
        <v>44</v>
      </c>
      <c r="F45" s="37" t="s">
        <v>148</v>
      </c>
      <c r="G45" s="64" t="str">
        <f t="shared" si="15"/>
        <v>Oct</v>
      </c>
      <c r="H45" s="64" t="str">
        <f t="shared" si="16"/>
        <v>10</v>
      </c>
      <c r="I45" s="64">
        <f t="shared" si="17"/>
        <v>2019</v>
      </c>
      <c r="J45" s="37" t="s">
        <v>45</v>
      </c>
      <c r="K45" s="39" t="s">
        <v>82</v>
      </c>
    </row>
    <row r="46" spans="1:12" s="39" customFormat="1" ht="15" customHeight="1" x14ac:dyDescent="0.4">
      <c r="A46" s="37"/>
      <c r="B46" s="64"/>
      <c r="C46" s="64"/>
      <c r="D46" s="37"/>
      <c r="E46" s="37"/>
      <c r="F46" s="37"/>
      <c r="G46" s="64"/>
      <c r="H46" s="64"/>
      <c r="I46" s="64"/>
      <c r="J46" s="37"/>
    </row>
    <row r="47" spans="1:12" s="34" customFormat="1" ht="15" customHeight="1" x14ac:dyDescent="0.4">
      <c r="A47" s="35" t="s">
        <v>88</v>
      </c>
      <c r="B47" s="36"/>
      <c r="C47" s="36"/>
      <c r="D47" s="35"/>
      <c r="E47" s="35"/>
      <c r="F47" s="35"/>
      <c r="G47" s="35"/>
      <c r="H47" s="35"/>
      <c r="I47" s="35"/>
      <c r="J47" s="35"/>
      <c r="K47" s="39"/>
    </row>
    <row r="48" spans="1:12" s="39" customFormat="1" ht="15" customHeight="1" x14ac:dyDescent="0.4">
      <c r="A48" s="37" t="str">
        <f t="array" ref="A48">TEXT(WORKDAY(DATE($B$1,1,12)-1,1,IF('Holiday (Dates to Exclude)'!$D:$D=VLOOKUP($F48,'Holiday (Dates to Exclude)'!$A:$B,2,0),'Holiday (Dates to Exclude)'!$E:$E,)),"MM/DD/YY")</f>
        <v>01/14/19</v>
      </c>
      <c r="B48" s="64" t="str">
        <f t="shared" si="14"/>
        <v>Mon</v>
      </c>
      <c r="C48" s="64" t="str">
        <f t="shared" ref="C48:C59" si="19">TEXT(A48,"MMM YYYY")</f>
        <v>Jan 2019</v>
      </c>
      <c r="D48" s="65" t="s">
        <v>170</v>
      </c>
      <c r="E48" s="62" t="s">
        <v>44</v>
      </c>
      <c r="F48" s="37" t="s">
        <v>148</v>
      </c>
      <c r="G48" s="64" t="str">
        <f>TEXT(EDATE($A48,-1),"MMM")</f>
        <v>Dec</v>
      </c>
      <c r="H48" s="64" t="str">
        <f>TEXT(EOMONTH($A48,-1),"MM")</f>
        <v>12</v>
      </c>
      <c r="I48" s="64">
        <f t="shared" ref="I48:I59" si="20">YEAR(A48)</f>
        <v>2019</v>
      </c>
      <c r="J48" s="23" t="s">
        <v>37</v>
      </c>
      <c r="K48" s="39" t="s">
        <v>82</v>
      </c>
    </row>
    <row r="49" spans="1:12" s="39" customFormat="1" ht="15" customHeight="1" x14ac:dyDescent="0.4">
      <c r="A49" s="37" t="str">
        <f t="array" ref="A49">TEXT(WORKDAY(DATE($B$1,2,12)-1,1,IF('Holiday (Dates to Exclude)'!$D:$D=VLOOKUP($F49,'Holiday (Dates to Exclude)'!$A:$B,2,0),'Holiday (Dates to Exclude)'!$E:$E,)),"MM/DD/YY")</f>
        <v>02/12/19</v>
      </c>
      <c r="B49" s="64" t="str">
        <f t="shared" si="14"/>
        <v>Tue</v>
      </c>
      <c r="C49" s="64" t="str">
        <f t="shared" si="19"/>
        <v>Feb 2019</v>
      </c>
      <c r="D49" s="65" t="s">
        <v>170</v>
      </c>
      <c r="E49" s="62" t="s">
        <v>44</v>
      </c>
      <c r="F49" s="37" t="s">
        <v>148</v>
      </c>
      <c r="G49" s="64" t="str">
        <f t="shared" ref="G49:G59" si="21">TEXT(EDATE($A49,-1),"MMM")</f>
        <v>Jan</v>
      </c>
      <c r="H49" s="64" t="str">
        <f t="shared" ref="H49:H59" si="22">TEXT(EOMONTH($A49,-1),"MM")</f>
        <v>01</v>
      </c>
      <c r="I49" s="64">
        <f t="shared" si="20"/>
        <v>2019</v>
      </c>
      <c r="J49" s="23" t="s">
        <v>37</v>
      </c>
      <c r="K49" s="39" t="s">
        <v>82</v>
      </c>
      <c r="L49" s="39" t="s">
        <v>87</v>
      </c>
    </row>
    <row r="50" spans="1:12" s="39" customFormat="1" ht="15" customHeight="1" x14ac:dyDescent="0.4">
      <c r="A50" s="37" t="str">
        <f t="array" ref="A50">TEXT(WORKDAY(DATE($B$1,3,12)-1,1,IF('Holiday (Dates to Exclude)'!$D:$D=VLOOKUP($F50,'Holiday (Dates to Exclude)'!$A:$B,2,0),'Holiday (Dates to Exclude)'!$E:$E,)),"MM/DD/YY")</f>
        <v>03/12/19</v>
      </c>
      <c r="B50" s="64" t="str">
        <f t="shared" si="14"/>
        <v>Tue</v>
      </c>
      <c r="C50" s="64" t="str">
        <f t="shared" si="19"/>
        <v>Mar 2019</v>
      </c>
      <c r="D50" s="65" t="s">
        <v>170</v>
      </c>
      <c r="E50" s="62" t="s">
        <v>44</v>
      </c>
      <c r="F50" s="37" t="s">
        <v>148</v>
      </c>
      <c r="G50" s="64" t="str">
        <f t="shared" si="21"/>
        <v>Feb</v>
      </c>
      <c r="H50" s="64" t="str">
        <f t="shared" si="22"/>
        <v>02</v>
      </c>
      <c r="I50" s="64">
        <f t="shared" si="20"/>
        <v>2019</v>
      </c>
      <c r="J50" s="23" t="s">
        <v>37</v>
      </c>
      <c r="K50" s="39" t="s">
        <v>82</v>
      </c>
      <c r="L50" s="39" t="s">
        <v>87</v>
      </c>
    </row>
    <row r="51" spans="1:12" s="39" customFormat="1" ht="15" customHeight="1" x14ac:dyDescent="0.4">
      <c r="A51" s="37" t="str">
        <f t="array" ref="A51">TEXT(WORKDAY(DATE($B$1,4,12)-1,1,IF('Holiday (Dates to Exclude)'!$D:$D=VLOOKUP($F51,'Holiday (Dates to Exclude)'!$A:$B,2,0),'Holiday (Dates to Exclude)'!$E:$E,)),"MM/DD/YY")</f>
        <v>04/12/19</v>
      </c>
      <c r="B51" s="64" t="str">
        <f t="shared" si="14"/>
        <v>Fri</v>
      </c>
      <c r="C51" s="64" t="str">
        <f t="shared" si="19"/>
        <v>Apr 2019</v>
      </c>
      <c r="D51" s="65" t="s">
        <v>170</v>
      </c>
      <c r="E51" s="62" t="s">
        <v>44</v>
      </c>
      <c r="F51" s="37" t="s">
        <v>148</v>
      </c>
      <c r="G51" s="64" t="str">
        <f t="shared" si="21"/>
        <v>Mar</v>
      </c>
      <c r="H51" s="64" t="str">
        <f t="shared" si="22"/>
        <v>03</v>
      </c>
      <c r="I51" s="64">
        <f t="shared" si="20"/>
        <v>2019</v>
      </c>
      <c r="J51" s="23" t="s">
        <v>37</v>
      </c>
      <c r="K51" s="39" t="s">
        <v>82</v>
      </c>
    </row>
    <row r="52" spans="1:12" s="39" customFormat="1" ht="15" customHeight="1" x14ac:dyDescent="0.4">
      <c r="A52" s="37" t="str">
        <f t="array" ref="A52">TEXT(WORKDAY(DATE($B$1,5,12)-1,1,IF('Holiday (Dates to Exclude)'!$D:$D=VLOOKUP($F52,'Holiday (Dates to Exclude)'!$A:$B,2,0),'Holiday (Dates to Exclude)'!$E:$E,)),"MM/DD/YY")</f>
        <v>05/13/19</v>
      </c>
      <c r="B52" s="64" t="str">
        <f t="shared" si="14"/>
        <v>Mon</v>
      </c>
      <c r="C52" s="64" t="str">
        <f t="shared" si="19"/>
        <v>May 2019</v>
      </c>
      <c r="D52" s="65" t="s">
        <v>170</v>
      </c>
      <c r="E52" s="62" t="s">
        <v>44</v>
      </c>
      <c r="F52" s="37" t="s">
        <v>148</v>
      </c>
      <c r="G52" s="64" t="str">
        <f t="shared" si="21"/>
        <v>Apr</v>
      </c>
      <c r="H52" s="64" t="str">
        <f t="shared" si="22"/>
        <v>04</v>
      </c>
      <c r="I52" s="64">
        <f t="shared" si="20"/>
        <v>2019</v>
      </c>
      <c r="J52" s="23" t="s">
        <v>37</v>
      </c>
      <c r="K52" s="39" t="s">
        <v>82</v>
      </c>
    </row>
    <row r="53" spans="1:12" s="39" customFormat="1" ht="15" customHeight="1" x14ac:dyDescent="0.4">
      <c r="A53" s="37" t="str">
        <f t="array" ref="A53">TEXT(WORKDAY(DATE($B$1,6,12)-1,1,IF('Holiday (Dates to Exclude)'!$D:$D=VLOOKUP($F53,'Holiday (Dates to Exclude)'!$A:$B,2,0),'Holiday (Dates to Exclude)'!$E:$E,)),"MM/DD/YY")</f>
        <v>06/12/19</v>
      </c>
      <c r="B53" s="64" t="str">
        <f t="shared" si="14"/>
        <v>Wed</v>
      </c>
      <c r="C53" s="64" t="str">
        <f t="shared" si="19"/>
        <v>Jun 2019</v>
      </c>
      <c r="D53" s="65" t="s">
        <v>170</v>
      </c>
      <c r="E53" s="62" t="s">
        <v>44</v>
      </c>
      <c r="F53" s="37" t="s">
        <v>148</v>
      </c>
      <c r="G53" s="64" t="str">
        <f t="shared" si="21"/>
        <v>May</v>
      </c>
      <c r="H53" s="64" t="str">
        <f t="shared" si="22"/>
        <v>05</v>
      </c>
      <c r="I53" s="64">
        <f t="shared" si="20"/>
        <v>2019</v>
      </c>
      <c r="J53" s="23" t="s">
        <v>37</v>
      </c>
      <c r="K53" s="39" t="s">
        <v>82</v>
      </c>
      <c r="L53" s="39" t="s">
        <v>87</v>
      </c>
    </row>
    <row r="54" spans="1:12" s="39" customFormat="1" ht="15" customHeight="1" x14ac:dyDescent="0.4">
      <c r="A54" s="37" t="str">
        <f t="array" ref="A54">TEXT(WORKDAY(DATE($B$1,7,12)-1,1,IF('Holiday (Dates to Exclude)'!$D:$D=VLOOKUP($F54,'Holiday (Dates to Exclude)'!$A:$B,2,0),'Holiday (Dates to Exclude)'!$E:$E,)),"MM/DD/YY")</f>
        <v>07/12/19</v>
      </c>
      <c r="B54" s="64" t="str">
        <f t="shared" si="14"/>
        <v>Fri</v>
      </c>
      <c r="C54" s="64" t="str">
        <f t="shared" si="19"/>
        <v>Jul 2019</v>
      </c>
      <c r="D54" s="65" t="s">
        <v>170</v>
      </c>
      <c r="E54" s="62" t="s">
        <v>44</v>
      </c>
      <c r="F54" s="37" t="s">
        <v>148</v>
      </c>
      <c r="G54" s="64" t="str">
        <f t="shared" si="21"/>
        <v>Jun</v>
      </c>
      <c r="H54" s="64" t="str">
        <f t="shared" si="22"/>
        <v>06</v>
      </c>
      <c r="I54" s="64">
        <f t="shared" si="20"/>
        <v>2019</v>
      </c>
      <c r="J54" s="23" t="s">
        <v>37</v>
      </c>
      <c r="K54" s="39" t="s">
        <v>82</v>
      </c>
    </row>
    <row r="55" spans="1:12" s="39" customFormat="1" ht="15" customHeight="1" x14ac:dyDescent="0.4">
      <c r="A55" s="37" t="str">
        <f t="array" ref="A55">TEXT(WORKDAY(DATE($B$1,8,12)-1,1,IF('Holiday (Dates to Exclude)'!$D:$D=VLOOKUP($F55,'Holiday (Dates to Exclude)'!$A:$B,2,0),'Holiday (Dates to Exclude)'!$E:$E,)),"MM/DD/YY")</f>
        <v>08/12/19</v>
      </c>
      <c r="B55" s="64" t="str">
        <f t="shared" si="14"/>
        <v>Mon</v>
      </c>
      <c r="C55" s="64" t="str">
        <f t="shared" si="19"/>
        <v>Aug 2019</v>
      </c>
      <c r="D55" s="65" t="s">
        <v>170</v>
      </c>
      <c r="E55" s="62" t="s">
        <v>44</v>
      </c>
      <c r="F55" s="37" t="s">
        <v>148</v>
      </c>
      <c r="G55" s="64" t="str">
        <f t="shared" si="21"/>
        <v>Jul</v>
      </c>
      <c r="H55" s="64" t="str">
        <f t="shared" si="22"/>
        <v>07</v>
      </c>
      <c r="I55" s="64">
        <f t="shared" si="20"/>
        <v>2019</v>
      </c>
      <c r="J55" s="23" t="s">
        <v>37</v>
      </c>
      <c r="K55" s="39" t="s">
        <v>82</v>
      </c>
    </row>
    <row r="56" spans="1:12" s="39" customFormat="1" ht="15" customHeight="1" x14ac:dyDescent="0.4">
      <c r="A56" s="37" t="str">
        <f t="array" ref="A56">TEXT(WORKDAY(DATE($B$1,9,12)-1,1,IF('Holiday (Dates to Exclude)'!$D:$D=VLOOKUP($F56,'Holiday (Dates to Exclude)'!$A:$B,2,0),'Holiday (Dates to Exclude)'!$E:$E,)),"MM/DD/YY")</f>
        <v>09/12/19</v>
      </c>
      <c r="B56" s="64" t="str">
        <f t="shared" si="14"/>
        <v>Thu</v>
      </c>
      <c r="C56" s="64" t="str">
        <f t="shared" si="19"/>
        <v>Sep 2019</v>
      </c>
      <c r="D56" s="65" t="s">
        <v>170</v>
      </c>
      <c r="E56" s="62" t="s">
        <v>44</v>
      </c>
      <c r="F56" s="37" t="s">
        <v>148</v>
      </c>
      <c r="G56" s="64" t="str">
        <f t="shared" si="21"/>
        <v>Aug</v>
      </c>
      <c r="H56" s="64" t="str">
        <f t="shared" si="22"/>
        <v>08</v>
      </c>
      <c r="I56" s="64">
        <f t="shared" si="20"/>
        <v>2019</v>
      </c>
      <c r="J56" s="23" t="s">
        <v>37</v>
      </c>
      <c r="K56" s="39" t="s">
        <v>82</v>
      </c>
    </row>
    <row r="57" spans="1:12" s="39" customFormat="1" ht="15" customHeight="1" x14ac:dyDescent="0.4">
      <c r="A57" s="37" t="str">
        <f t="array" ref="A57">TEXT(WORKDAY(DATE($B$1,10,12)-1,1,IF('Holiday (Dates to Exclude)'!$D:$D=VLOOKUP($F57,'Holiday (Dates to Exclude)'!$A:$B,2,0),'Holiday (Dates to Exclude)'!$E:$E,)),"MM/DD/YY")</f>
        <v>10/14/19</v>
      </c>
      <c r="B57" s="64" t="str">
        <f t="shared" si="14"/>
        <v>Mon</v>
      </c>
      <c r="C57" s="64" t="str">
        <f t="shared" si="19"/>
        <v>Oct 2019</v>
      </c>
      <c r="D57" s="65" t="s">
        <v>170</v>
      </c>
      <c r="E57" s="62" t="s">
        <v>44</v>
      </c>
      <c r="F57" s="37" t="s">
        <v>148</v>
      </c>
      <c r="G57" s="64" t="str">
        <f t="shared" si="21"/>
        <v>Sep</v>
      </c>
      <c r="H57" s="64" t="str">
        <f t="shared" si="22"/>
        <v>09</v>
      </c>
      <c r="I57" s="64">
        <f t="shared" si="20"/>
        <v>2019</v>
      </c>
      <c r="J57" s="23" t="s">
        <v>37</v>
      </c>
      <c r="K57" s="39" t="s">
        <v>82</v>
      </c>
    </row>
    <row r="58" spans="1:12" s="39" customFormat="1" ht="15" customHeight="1" x14ac:dyDescent="0.4">
      <c r="A58" s="37" t="str">
        <f t="array" ref="A58">TEXT(WORKDAY(DATE($B$1,11,12)-1,1,IF('Holiday (Dates to Exclude)'!$D:$D=VLOOKUP($F58,'Holiday (Dates to Exclude)'!$A:$B,2,0),'Holiday (Dates to Exclude)'!$E:$E,)),"MM/DD/YY")</f>
        <v>11/12/19</v>
      </c>
      <c r="B58" s="64" t="str">
        <f t="shared" si="14"/>
        <v>Tue</v>
      </c>
      <c r="C58" s="64" t="str">
        <f t="shared" si="19"/>
        <v>Nov 2019</v>
      </c>
      <c r="D58" s="65" t="s">
        <v>170</v>
      </c>
      <c r="E58" s="62" t="s">
        <v>44</v>
      </c>
      <c r="F58" s="37" t="s">
        <v>148</v>
      </c>
      <c r="G58" s="64" t="str">
        <f t="shared" si="21"/>
        <v>Oct</v>
      </c>
      <c r="H58" s="64" t="str">
        <f t="shared" si="22"/>
        <v>10</v>
      </c>
      <c r="I58" s="64">
        <f t="shared" si="20"/>
        <v>2019</v>
      </c>
      <c r="J58" s="23" t="s">
        <v>37</v>
      </c>
      <c r="K58" s="39" t="s">
        <v>82</v>
      </c>
      <c r="L58" s="39" t="s">
        <v>87</v>
      </c>
    </row>
    <row r="59" spans="1:12" s="39" customFormat="1" ht="15" customHeight="1" x14ac:dyDescent="0.4">
      <c r="A59" s="37" t="str">
        <f t="array" ref="A59">TEXT(WORKDAY(DATE($B$1,12,12)-1,1,IF('Holiday (Dates to Exclude)'!$D:$D=VLOOKUP($F59,'Holiday (Dates to Exclude)'!$A:$B,2,0),'Holiday (Dates to Exclude)'!$E:$E,)),"MM/DD/YY")</f>
        <v>12/12/19</v>
      </c>
      <c r="B59" s="64" t="str">
        <f t="shared" si="14"/>
        <v>Thu</v>
      </c>
      <c r="C59" s="64" t="str">
        <f t="shared" si="19"/>
        <v>Dec 2019</v>
      </c>
      <c r="D59" s="65" t="s">
        <v>170</v>
      </c>
      <c r="E59" s="62" t="s">
        <v>44</v>
      </c>
      <c r="F59" s="37" t="s">
        <v>148</v>
      </c>
      <c r="G59" s="64" t="str">
        <f t="shared" si="21"/>
        <v>Nov</v>
      </c>
      <c r="H59" s="64" t="str">
        <f t="shared" si="22"/>
        <v>11</v>
      </c>
      <c r="I59" s="64">
        <f t="shared" si="20"/>
        <v>2019</v>
      </c>
      <c r="J59" s="23" t="s">
        <v>37</v>
      </c>
      <c r="K59" s="39" t="s">
        <v>82</v>
      </c>
    </row>
    <row r="60" spans="1:12" s="39" customFormat="1" ht="15" customHeight="1" x14ac:dyDescent="0.4">
      <c r="A60" s="37"/>
      <c r="B60" s="64"/>
      <c r="C60" s="64"/>
      <c r="D60" s="37"/>
      <c r="E60" s="37"/>
      <c r="F60" s="37"/>
      <c r="G60" s="64"/>
      <c r="H60" s="64"/>
      <c r="I60" s="64"/>
      <c r="J60" s="37"/>
    </row>
    <row r="61" spans="1:12" s="34" customFormat="1" ht="15" customHeight="1" x14ac:dyDescent="0.4">
      <c r="A61" s="35" t="s">
        <v>178</v>
      </c>
      <c r="B61" s="36"/>
      <c r="C61" s="36"/>
      <c r="D61" s="35"/>
      <c r="E61" s="35"/>
      <c r="F61" s="35"/>
      <c r="G61" s="35"/>
      <c r="H61" s="35"/>
      <c r="I61" s="35"/>
      <c r="J61" s="35"/>
      <c r="K61" s="39"/>
    </row>
    <row r="62" spans="1:12" s="39" customFormat="1" ht="15" customHeight="1" x14ac:dyDescent="0.4">
      <c r="A62" s="37" t="str">
        <f>TEXT(WORKDAY(DATE($B$1,1,13)-1,1,IF('Holiday (Dates to Exclude)'!$D:$D=VLOOKUP($F62,'Holiday (Dates to Exclude)'!$A:$B,2,0),'Holiday (Dates to Exclude)'!$E:$E,)),"MM/DD/YY")</f>
        <v>01/14/19</v>
      </c>
      <c r="B62" s="64" t="str">
        <f t="shared" ref="B62:B73" si="23">TEXT($A62,"DDD")</f>
        <v>Mon</v>
      </c>
      <c r="C62" s="64" t="str">
        <f t="shared" ref="C62:C73" si="24">TEXT(A62,"MMM YYYY")</f>
        <v>Jan 2019</v>
      </c>
      <c r="D62" s="23" t="s">
        <v>171</v>
      </c>
      <c r="E62" s="23" t="s">
        <v>44</v>
      </c>
      <c r="F62" s="23" t="s">
        <v>159</v>
      </c>
      <c r="G62" s="64" t="str">
        <f t="shared" ref="G62:G73" si="25">TEXT(EDATE($A62,-2),"MMM")</f>
        <v>Nov</v>
      </c>
      <c r="H62" s="64" t="str">
        <f t="shared" ref="H62:H73" si="26">TEXT(EOMONTH($A62,-2),"MM")</f>
        <v>11</v>
      </c>
      <c r="I62" s="64">
        <f t="shared" ref="I62:I73" si="27">YEAR(A62)</f>
        <v>2019</v>
      </c>
      <c r="J62" s="23" t="s">
        <v>66</v>
      </c>
      <c r="K62" s="39" t="s">
        <v>82</v>
      </c>
    </row>
    <row r="63" spans="1:12" s="39" customFormat="1" ht="15" customHeight="1" x14ac:dyDescent="0.4">
      <c r="A63" s="37" t="str">
        <f t="array" ref="A63">TEXT(WORKDAY(DATE($B$1,2,13)-1,1,IF('Holiday (Dates to Exclude)'!$D:$D=VLOOKUP($F63,'Holiday (Dates to Exclude)'!$A:$B,2,0),'Holiday (Dates to Exclude)'!$E:$E,)),"MM/DD/YY")</f>
        <v>02/13/19</v>
      </c>
      <c r="B63" s="64" t="str">
        <f t="shared" si="23"/>
        <v>Wed</v>
      </c>
      <c r="C63" s="64" t="str">
        <f t="shared" si="24"/>
        <v>Feb 2019</v>
      </c>
      <c r="D63" s="23" t="s">
        <v>171</v>
      </c>
      <c r="E63" s="23" t="s">
        <v>44</v>
      </c>
      <c r="F63" s="23" t="s">
        <v>159</v>
      </c>
      <c r="G63" s="64" t="str">
        <f t="shared" si="25"/>
        <v>Dec</v>
      </c>
      <c r="H63" s="64" t="str">
        <f t="shared" si="26"/>
        <v>12</v>
      </c>
      <c r="I63" s="64">
        <f t="shared" si="27"/>
        <v>2019</v>
      </c>
      <c r="J63" s="23" t="s">
        <v>66</v>
      </c>
      <c r="K63" s="39" t="s">
        <v>82</v>
      </c>
    </row>
    <row r="64" spans="1:12" s="39" customFormat="1" ht="15" customHeight="1" x14ac:dyDescent="0.4">
      <c r="A64" s="37" t="str">
        <f t="array" ref="A64">TEXT(WORKDAY(DATE($B$1,3,13)-1,1,IF('Holiday (Dates to Exclude)'!$D:$D=VLOOKUP($F64,'Holiday (Dates to Exclude)'!$A:$B,2,0),'Holiday (Dates to Exclude)'!$E:$E,)),"MM/DD/YY")</f>
        <v>03/13/19</v>
      </c>
      <c r="B64" s="64" t="str">
        <f t="shared" si="23"/>
        <v>Wed</v>
      </c>
      <c r="C64" s="64" t="str">
        <f t="shared" si="24"/>
        <v>Mar 2019</v>
      </c>
      <c r="D64" s="23" t="s">
        <v>171</v>
      </c>
      <c r="E64" s="23" t="s">
        <v>44</v>
      </c>
      <c r="F64" s="23" t="s">
        <v>159</v>
      </c>
      <c r="G64" s="64" t="str">
        <f t="shared" si="25"/>
        <v>Jan</v>
      </c>
      <c r="H64" s="64" t="str">
        <f t="shared" si="26"/>
        <v>01</v>
      </c>
      <c r="I64" s="64">
        <f t="shared" si="27"/>
        <v>2019</v>
      </c>
      <c r="J64" s="23" t="s">
        <v>66</v>
      </c>
      <c r="K64" s="39" t="s">
        <v>82</v>
      </c>
    </row>
    <row r="65" spans="1:11" s="39" customFormat="1" ht="15" customHeight="1" x14ac:dyDescent="0.4">
      <c r="A65" s="37" t="str">
        <f t="array" ref="A65">TEXT(WORKDAY(DATE($B$1,4,13)-1,1,IF('Holiday (Dates to Exclude)'!$D:$D=VLOOKUP($F65,'Holiday (Dates to Exclude)'!$A:$B,2,0),'Holiday (Dates to Exclude)'!$E:$E,)),"MM/DD/YY")</f>
        <v>04/15/19</v>
      </c>
      <c r="B65" s="64" t="str">
        <f t="shared" si="23"/>
        <v>Mon</v>
      </c>
      <c r="C65" s="64" t="str">
        <f t="shared" si="24"/>
        <v>Apr 2019</v>
      </c>
      <c r="D65" s="23" t="s">
        <v>171</v>
      </c>
      <c r="E65" s="23" t="s">
        <v>44</v>
      </c>
      <c r="F65" s="23" t="s">
        <v>159</v>
      </c>
      <c r="G65" s="64" t="str">
        <f t="shared" si="25"/>
        <v>Feb</v>
      </c>
      <c r="H65" s="64" t="str">
        <f t="shared" si="26"/>
        <v>02</v>
      </c>
      <c r="I65" s="64">
        <f t="shared" si="27"/>
        <v>2019</v>
      </c>
      <c r="J65" s="23" t="s">
        <v>66</v>
      </c>
      <c r="K65" s="39" t="s">
        <v>82</v>
      </c>
    </row>
    <row r="66" spans="1:11" s="39" customFormat="1" ht="15" customHeight="1" x14ac:dyDescent="0.4">
      <c r="A66" s="37" t="str">
        <f t="array" ref="A66">TEXT(WORKDAY(DATE($B$1,5,13)-1,1,IF('Holiday (Dates to Exclude)'!$D:$D=VLOOKUP($F66,'Holiday (Dates to Exclude)'!$A:$B,2,0),'Holiday (Dates to Exclude)'!$E:$E,)),"MM/DD/YY")</f>
        <v>05/13/19</v>
      </c>
      <c r="B66" s="64" t="str">
        <f t="shared" si="23"/>
        <v>Mon</v>
      </c>
      <c r="C66" s="64" t="str">
        <f t="shared" si="24"/>
        <v>May 2019</v>
      </c>
      <c r="D66" s="23" t="s">
        <v>171</v>
      </c>
      <c r="E66" s="23" t="s">
        <v>44</v>
      </c>
      <c r="F66" s="23" t="s">
        <v>159</v>
      </c>
      <c r="G66" s="64" t="str">
        <f t="shared" si="25"/>
        <v>Mar</v>
      </c>
      <c r="H66" s="64" t="str">
        <f t="shared" si="26"/>
        <v>03</v>
      </c>
      <c r="I66" s="64">
        <f t="shared" si="27"/>
        <v>2019</v>
      </c>
      <c r="J66" s="23" t="s">
        <v>66</v>
      </c>
      <c r="K66" s="39" t="s">
        <v>82</v>
      </c>
    </row>
    <row r="67" spans="1:11" s="39" customFormat="1" ht="15" customHeight="1" x14ac:dyDescent="0.4">
      <c r="A67" s="37" t="str">
        <f t="array" ref="A67">TEXT(WORKDAY(DATE($B$1,6,13)-1,1,IF('Holiday (Dates to Exclude)'!$D:$D=VLOOKUP($F67,'Holiday (Dates to Exclude)'!$A:$B,2,0),'Holiday (Dates to Exclude)'!$E:$E,)),"MM/DD/YY")</f>
        <v>06/13/19</v>
      </c>
      <c r="B67" s="64" t="str">
        <f t="shared" si="23"/>
        <v>Thu</v>
      </c>
      <c r="C67" s="64" t="str">
        <f t="shared" si="24"/>
        <v>Jun 2019</v>
      </c>
      <c r="D67" s="23" t="s">
        <v>171</v>
      </c>
      <c r="E67" s="23" t="s">
        <v>44</v>
      </c>
      <c r="F67" s="23" t="s">
        <v>159</v>
      </c>
      <c r="G67" s="64" t="str">
        <f t="shared" si="25"/>
        <v>Apr</v>
      </c>
      <c r="H67" s="64" t="str">
        <f t="shared" si="26"/>
        <v>04</v>
      </c>
      <c r="I67" s="64">
        <f t="shared" si="27"/>
        <v>2019</v>
      </c>
      <c r="J67" s="23" t="s">
        <v>66</v>
      </c>
      <c r="K67" s="39" t="s">
        <v>82</v>
      </c>
    </row>
    <row r="68" spans="1:11" s="39" customFormat="1" ht="15" customHeight="1" x14ac:dyDescent="0.4">
      <c r="A68" s="37" t="str">
        <f t="array" ref="A68">TEXT(WORKDAY(DATE($B$1,7,13)-1,1,IF('Holiday (Dates to Exclude)'!$D:$D=VLOOKUP($F68,'Holiday (Dates to Exclude)'!$A:$B,2,0),'Holiday (Dates to Exclude)'!$E:$E,)),"MM/DD/YY")</f>
        <v>07/15/19</v>
      </c>
      <c r="B68" s="64" t="str">
        <f t="shared" si="23"/>
        <v>Mon</v>
      </c>
      <c r="C68" s="64" t="str">
        <f t="shared" si="24"/>
        <v>Jul 2019</v>
      </c>
      <c r="D68" s="23" t="s">
        <v>171</v>
      </c>
      <c r="E68" s="23" t="s">
        <v>44</v>
      </c>
      <c r="F68" s="23" t="s">
        <v>159</v>
      </c>
      <c r="G68" s="64" t="str">
        <f t="shared" si="25"/>
        <v>May</v>
      </c>
      <c r="H68" s="64" t="str">
        <f t="shared" si="26"/>
        <v>05</v>
      </c>
      <c r="I68" s="64">
        <f t="shared" si="27"/>
        <v>2019</v>
      </c>
      <c r="J68" s="23" t="s">
        <v>66</v>
      </c>
      <c r="K68" s="39" t="s">
        <v>82</v>
      </c>
    </row>
    <row r="69" spans="1:11" s="39" customFormat="1" ht="15" customHeight="1" x14ac:dyDescent="0.4">
      <c r="A69" s="37" t="str">
        <f t="array" ref="A69">TEXT(WORKDAY(DATE($B$1,8,13)-1,1,IF('Holiday (Dates to Exclude)'!$D:$D=VLOOKUP($F69,'Holiday (Dates to Exclude)'!$A:$B,2,0),'Holiday (Dates to Exclude)'!$E:$E,)),"MM/DD/YY")</f>
        <v>08/13/19</v>
      </c>
      <c r="B69" s="64" t="str">
        <f t="shared" si="23"/>
        <v>Tue</v>
      </c>
      <c r="C69" s="64" t="str">
        <f t="shared" si="24"/>
        <v>Aug 2019</v>
      </c>
      <c r="D69" s="23" t="s">
        <v>171</v>
      </c>
      <c r="E69" s="23" t="s">
        <v>44</v>
      </c>
      <c r="F69" s="23" t="s">
        <v>159</v>
      </c>
      <c r="G69" s="64" t="str">
        <f t="shared" si="25"/>
        <v>Jun</v>
      </c>
      <c r="H69" s="64" t="str">
        <f t="shared" si="26"/>
        <v>06</v>
      </c>
      <c r="I69" s="64">
        <f t="shared" si="27"/>
        <v>2019</v>
      </c>
      <c r="J69" s="23" t="s">
        <v>66</v>
      </c>
      <c r="K69" s="39" t="s">
        <v>82</v>
      </c>
    </row>
    <row r="70" spans="1:11" s="39" customFormat="1" ht="15" customHeight="1" x14ac:dyDescent="0.4">
      <c r="A70" s="37" t="str">
        <f t="array" ref="A70">TEXT(WORKDAY(DATE($B$1,9,13)-1,1,IF('Holiday (Dates to Exclude)'!$D:$D=VLOOKUP($F70,'Holiday (Dates to Exclude)'!$A:$B,2,0),'Holiday (Dates to Exclude)'!$E:$E,)),"MM/DD/YY")</f>
        <v>09/13/19</v>
      </c>
      <c r="B70" s="64" t="str">
        <f t="shared" si="23"/>
        <v>Fri</v>
      </c>
      <c r="C70" s="64" t="str">
        <f t="shared" si="24"/>
        <v>Sep 2019</v>
      </c>
      <c r="D70" s="23" t="s">
        <v>171</v>
      </c>
      <c r="E70" s="23" t="s">
        <v>44</v>
      </c>
      <c r="F70" s="23" t="s">
        <v>159</v>
      </c>
      <c r="G70" s="64" t="str">
        <f t="shared" si="25"/>
        <v>Jul</v>
      </c>
      <c r="H70" s="64" t="str">
        <f t="shared" si="26"/>
        <v>07</v>
      </c>
      <c r="I70" s="64">
        <f t="shared" si="27"/>
        <v>2019</v>
      </c>
      <c r="J70" s="23" t="s">
        <v>66</v>
      </c>
      <c r="K70" s="39" t="s">
        <v>82</v>
      </c>
    </row>
    <row r="71" spans="1:11" s="39" customFormat="1" ht="15" customHeight="1" x14ac:dyDescent="0.4">
      <c r="A71" s="37" t="str">
        <f t="array" ref="A71">TEXT(WORKDAY(DATE($B$1,10,13)-1,1,IF('Holiday (Dates to Exclude)'!$D:$D=VLOOKUP($F71,'Holiday (Dates to Exclude)'!$A:$B,2,0),'Holiday (Dates to Exclude)'!$E:$E,)),"MM/DD/YY")</f>
        <v>10/14/19</v>
      </c>
      <c r="B71" s="64" t="str">
        <f t="shared" si="23"/>
        <v>Mon</v>
      </c>
      <c r="C71" s="64" t="str">
        <f t="shared" si="24"/>
        <v>Oct 2019</v>
      </c>
      <c r="D71" s="23" t="s">
        <v>171</v>
      </c>
      <c r="E71" s="23" t="s">
        <v>44</v>
      </c>
      <c r="F71" s="23" t="s">
        <v>159</v>
      </c>
      <c r="G71" s="64" t="str">
        <f t="shared" si="25"/>
        <v>Aug</v>
      </c>
      <c r="H71" s="64" t="str">
        <f t="shared" si="26"/>
        <v>08</v>
      </c>
      <c r="I71" s="64">
        <f t="shared" si="27"/>
        <v>2019</v>
      </c>
      <c r="J71" s="23" t="s">
        <v>66</v>
      </c>
      <c r="K71" s="39" t="s">
        <v>82</v>
      </c>
    </row>
    <row r="72" spans="1:11" s="39" customFormat="1" ht="15" customHeight="1" x14ac:dyDescent="0.4">
      <c r="A72" s="37" t="str">
        <f t="array" ref="A72">TEXT(WORKDAY(DATE($B$1,11,13)-1,1,IF('Holiday (Dates to Exclude)'!$D:$D=VLOOKUP($F72,'Holiday (Dates to Exclude)'!$A:$B,2,0),'Holiday (Dates to Exclude)'!$E:$E,)),"MM/DD/YY")</f>
        <v>11/13/19</v>
      </c>
      <c r="B72" s="64" t="str">
        <f t="shared" si="23"/>
        <v>Wed</v>
      </c>
      <c r="C72" s="64" t="str">
        <f t="shared" si="24"/>
        <v>Nov 2019</v>
      </c>
      <c r="D72" s="23" t="s">
        <v>171</v>
      </c>
      <c r="E72" s="23" t="s">
        <v>44</v>
      </c>
      <c r="F72" s="23" t="s">
        <v>159</v>
      </c>
      <c r="G72" s="64" t="str">
        <f t="shared" si="25"/>
        <v>Sep</v>
      </c>
      <c r="H72" s="64" t="str">
        <f t="shared" si="26"/>
        <v>09</v>
      </c>
      <c r="I72" s="64">
        <f t="shared" si="27"/>
        <v>2019</v>
      </c>
      <c r="J72" s="23" t="s">
        <v>66</v>
      </c>
      <c r="K72" s="39" t="s">
        <v>82</v>
      </c>
    </row>
    <row r="73" spans="1:11" s="39" customFormat="1" ht="15" customHeight="1" x14ac:dyDescent="0.4">
      <c r="A73" s="37" t="str">
        <f t="array" ref="A73">TEXT(WORKDAY(DATE($B$1,12,13)-1,1,IF('Holiday (Dates to Exclude)'!$D:$D=VLOOKUP($F73,'Holiday (Dates to Exclude)'!$A:$B,2,0),'Holiday (Dates to Exclude)'!$E:$E,)),"MM/DD/YY")</f>
        <v>12/13/19</v>
      </c>
      <c r="B73" s="64" t="str">
        <f t="shared" si="23"/>
        <v>Fri</v>
      </c>
      <c r="C73" s="64" t="str">
        <f t="shared" si="24"/>
        <v>Dec 2019</v>
      </c>
      <c r="D73" s="23" t="s">
        <v>171</v>
      </c>
      <c r="E73" s="23" t="s">
        <v>44</v>
      </c>
      <c r="F73" s="23" t="s">
        <v>159</v>
      </c>
      <c r="G73" s="64" t="str">
        <f t="shared" si="25"/>
        <v>Oct</v>
      </c>
      <c r="H73" s="64" t="str">
        <f t="shared" si="26"/>
        <v>10</v>
      </c>
      <c r="I73" s="64">
        <f t="shared" si="27"/>
        <v>2019</v>
      </c>
      <c r="J73" s="23" t="s">
        <v>66</v>
      </c>
      <c r="K73" s="39" t="s">
        <v>82</v>
      </c>
    </row>
    <row r="74" spans="1:11" s="64" customFormat="1" ht="15" customHeight="1" x14ac:dyDescent="0.4">
      <c r="K74" s="66"/>
    </row>
    <row r="75" spans="1:11" s="34" customFormat="1" ht="15" customHeight="1" x14ac:dyDescent="0.4">
      <c r="A75" s="35" t="s">
        <v>89</v>
      </c>
      <c r="B75" s="36"/>
      <c r="C75" s="36"/>
      <c r="D75" s="35"/>
      <c r="E75" s="35"/>
      <c r="F75" s="35"/>
      <c r="G75" s="35"/>
      <c r="H75" s="35"/>
      <c r="I75" s="35"/>
      <c r="J75" s="35"/>
      <c r="K75" s="39"/>
    </row>
    <row r="76" spans="1:11" s="39" customFormat="1" ht="15" customHeight="1" x14ac:dyDescent="0.4">
      <c r="A76" s="37" t="str">
        <f>TEXT(WORKDAY(DATE($B$1,1,14)-1,1,IF('Holiday (Dates to Exclude)'!$D:$D=VLOOKUP($F76,'Holiday (Dates to Exclude)'!$A:$B,2,0),'Holiday (Dates to Exclude)'!$E:$E,)),"MM/DD/YY")</f>
        <v>01/14/19</v>
      </c>
      <c r="B76" s="64" t="str">
        <f t="shared" ref="B76:B87" si="28">TEXT($A76,"DDD")</f>
        <v>Mon</v>
      </c>
      <c r="C76" s="64" t="str">
        <f t="shared" ref="C76:C87" si="29">TEXT(A76,"MMM YYYY")</f>
        <v>Jan 2019</v>
      </c>
      <c r="D76" s="23" t="s">
        <v>173</v>
      </c>
      <c r="E76" s="23" t="s">
        <v>44</v>
      </c>
      <c r="F76" s="23" t="s">
        <v>146</v>
      </c>
      <c r="G76" s="64" t="str">
        <f>TEXT(EDATE($A76,-1),"MMM")</f>
        <v>Dec</v>
      </c>
      <c r="H76" s="64" t="str">
        <f>TEXT(EOMONTH($A76,-1),"MM")</f>
        <v>12</v>
      </c>
      <c r="I76" s="64">
        <f t="shared" ref="I76:I87" si="30">YEAR(A76)</f>
        <v>2019</v>
      </c>
      <c r="J76" s="23" t="s">
        <v>46</v>
      </c>
      <c r="K76" s="39" t="s">
        <v>82</v>
      </c>
    </row>
    <row r="77" spans="1:11" s="39" customFormat="1" ht="15" customHeight="1" x14ac:dyDescent="0.4">
      <c r="A77" s="37" t="str">
        <f t="array" ref="A77">TEXT(WORKDAY(DATE($B$1,2,14)-1,1,IF('Holiday (Dates to Exclude)'!$D:$D=VLOOKUP($F77,'Holiday (Dates to Exclude)'!$A:$B,2,0),'Holiday (Dates to Exclude)'!$E:$E,)),"MM/DD/YY")</f>
        <v>02/14/19</v>
      </c>
      <c r="B77" s="64" t="str">
        <f t="shared" si="28"/>
        <v>Thu</v>
      </c>
      <c r="C77" s="64" t="str">
        <f t="shared" si="29"/>
        <v>Feb 2019</v>
      </c>
      <c r="D77" s="23" t="s">
        <v>173</v>
      </c>
      <c r="E77" s="23" t="s">
        <v>44</v>
      </c>
      <c r="F77" s="23" t="s">
        <v>146</v>
      </c>
      <c r="G77" s="64" t="str">
        <f t="shared" ref="G77:G87" si="31">TEXT(EDATE($A77,-1),"MMM")</f>
        <v>Jan</v>
      </c>
      <c r="H77" s="64" t="str">
        <f t="shared" ref="H77:H87" si="32">TEXT(EOMONTH($A77,-1),"MM")</f>
        <v>01</v>
      </c>
      <c r="I77" s="64">
        <f t="shared" si="30"/>
        <v>2019</v>
      </c>
      <c r="J77" s="23" t="s">
        <v>46</v>
      </c>
      <c r="K77" s="39" t="s">
        <v>82</v>
      </c>
    </row>
    <row r="78" spans="1:11" s="39" customFormat="1" ht="15" customHeight="1" x14ac:dyDescent="0.4">
      <c r="A78" s="37" t="str">
        <f t="array" ref="A78">TEXT(WORKDAY(DATE($B$1,3,14)-1,1,IF('Holiday (Dates to Exclude)'!$D:$D=VLOOKUP($F78,'Holiday (Dates to Exclude)'!$A:$B,2,0),'Holiday (Dates to Exclude)'!$E:$E,)),"MM/DD/YY")</f>
        <v>03/14/19</v>
      </c>
      <c r="B78" s="64" t="str">
        <f t="shared" si="28"/>
        <v>Thu</v>
      </c>
      <c r="C78" s="64" t="str">
        <f t="shared" si="29"/>
        <v>Mar 2019</v>
      </c>
      <c r="D78" s="23" t="s">
        <v>173</v>
      </c>
      <c r="E78" s="23" t="s">
        <v>44</v>
      </c>
      <c r="F78" s="23" t="s">
        <v>146</v>
      </c>
      <c r="G78" s="64" t="str">
        <f t="shared" si="31"/>
        <v>Feb</v>
      </c>
      <c r="H78" s="64" t="str">
        <f t="shared" si="32"/>
        <v>02</v>
      </c>
      <c r="I78" s="64">
        <f t="shared" si="30"/>
        <v>2019</v>
      </c>
      <c r="J78" s="23" t="s">
        <v>46</v>
      </c>
      <c r="K78" s="39" t="s">
        <v>82</v>
      </c>
    </row>
    <row r="79" spans="1:11" s="39" customFormat="1" ht="15" customHeight="1" x14ac:dyDescent="0.4">
      <c r="A79" s="37" t="str">
        <f t="array" ref="A79">TEXT(WORKDAY(DATE($B$1,4,14)-1,1,IF('Holiday (Dates to Exclude)'!$D:$D=VLOOKUP($F79,'Holiday (Dates to Exclude)'!$A:$B,2,0),'Holiday (Dates to Exclude)'!$E:$E,)),"MM/DD/YY")</f>
        <v>04/15/19</v>
      </c>
      <c r="B79" s="64" t="str">
        <f t="shared" si="28"/>
        <v>Mon</v>
      </c>
      <c r="C79" s="64" t="str">
        <f t="shared" si="29"/>
        <v>Apr 2019</v>
      </c>
      <c r="D79" s="23" t="s">
        <v>173</v>
      </c>
      <c r="E79" s="23" t="s">
        <v>44</v>
      </c>
      <c r="F79" s="23" t="s">
        <v>146</v>
      </c>
      <c r="G79" s="64" t="str">
        <f t="shared" si="31"/>
        <v>Mar</v>
      </c>
      <c r="H79" s="64" t="str">
        <f t="shared" si="32"/>
        <v>03</v>
      </c>
      <c r="I79" s="64">
        <f t="shared" si="30"/>
        <v>2019</v>
      </c>
      <c r="J79" s="23" t="s">
        <v>46</v>
      </c>
      <c r="K79" s="39" t="s">
        <v>82</v>
      </c>
    </row>
    <row r="80" spans="1:11" s="39" customFormat="1" ht="15" customHeight="1" x14ac:dyDescent="0.4">
      <c r="A80" s="37" t="str">
        <f t="array" ref="A80">TEXT(WORKDAY(DATE($B$1,5,14)-1,1,IF('Holiday (Dates to Exclude)'!$D:$D=VLOOKUP($F80,'Holiday (Dates to Exclude)'!$A:$B,2,0),'Holiday (Dates to Exclude)'!$E:$E,)),"MM/DD/YY")</f>
        <v>05/14/19</v>
      </c>
      <c r="B80" s="64" t="str">
        <f t="shared" si="28"/>
        <v>Tue</v>
      </c>
      <c r="C80" s="64" t="str">
        <f t="shared" si="29"/>
        <v>May 2019</v>
      </c>
      <c r="D80" s="23" t="s">
        <v>173</v>
      </c>
      <c r="E80" s="23" t="s">
        <v>44</v>
      </c>
      <c r="F80" s="23" t="s">
        <v>146</v>
      </c>
      <c r="G80" s="64" t="str">
        <f t="shared" si="31"/>
        <v>Apr</v>
      </c>
      <c r="H80" s="64" t="str">
        <f t="shared" si="32"/>
        <v>04</v>
      </c>
      <c r="I80" s="64">
        <f t="shared" si="30"/>
        <v>2019</v>
      </c>
      <c r="J80" s="23" t="s">
        <v>46</v>
      </c>
      <c r="K80" s="39" t="s">
        <v>82</v>
      </c>
    </row>
    <row r="81" spans="1:11" s="39" customFormat="1" ht="15" customHeight="1" x14ac:dyDescent="0.4">
      <c r="A81" s="37" t="str">
        <f t="array" ref="A81">TEXT(WORKDAY(DATE($B$1,6,14)-1,1,IF('Holiday (Dates to Exclude)'!$D:$D=VLOOKUP($F81,'Holiday (Dates to Exclude)'!$A:$B,2,0),'Holiday (Dates to Exclude)'!$E:$E,)),"MM/DD/YY")</f>
        <v>06/14/19</v>
      </c>
      <c r="B81" s="64" t="str">
        <f t="shared" si="28"/>
        <v>Fri</v>
      </c>
      <c r="C81" s="64" t="str">
        <f t="shared" si="29"/>
        <v>Jun 2019</v>
      </c>
      <c r="D81" s="23" t="s">
        <v>173</v>
      </c>
      <c r="E81" s="23" t="s">
        <v>44</v>
      </c>
      <c r="F81" s="23" t="s">
        <v>146</v>
      </c>
      <c r="G81" s="64" t="str">
        <f t="shared" si="31"/>
        <v>May</v>
      </c>
      <c r="H81" s="64" t="str">
        <f t="shared" si="32"/>
        <v>05</v>
      </c>
      <c r="I81" s="64">
        <f t="shared" si="30"/>
        <v>2019</v>
      </c>
      <c r="J81" s="23" t="s">
        <v>46</v>
      </c>
      <c r="K81" s="39" t="s">
        <v>82</v>
      </c>
    </row>
    <row r="82" spans="1:11" s="39" customFormat="1" ht="15" customHeight="1" x14ac:dyDescent="0.4">
      <c r="A82" s="37" t="str">
        <f t="array" ref="A82">TEXT(WORKDAY(DATE($B$1,7,14)-1,1,IF('Holiday (Dates to Exclude)'!$D:$D=VLOOKUP($F82,'Holiday (Dates to Exclude)'!$A:$B,2,0),'Holiday (Dates to Exclude)'!$E:$E,)),"MM/DD/YY")</f>
        <v>07/15/19</v>
      </c>
      <c r="B82" s="64" t="str">
        <f t="shared" si="28"/>
        <v>Mon</v>
      </c>
      <c r="C82" s="64" t="str">
        <f t="shared" si="29"/>
        <v>Jul 2019</v>
      </c>
      <c r="D82" s="23" t="s">
        <v>173</v>
      </c>
      <c r="E82" s="23" t="s">
        <v>44</v>
      </c>
      <c r="F82" s="23" t="s">
        <v>146</v>
      </c>
      <c r="G82" s="64" t="str">
        <f t="shared" si="31"/>
        <v>Jun</v>
      </c>
      <c r="H82" s="64" t="str">
        <f t="shared" si="32"/>
        <v>06</v>
      </c>
      <c r="I82" s="64">
        <f t="shared" si="30"/>
        <v>2019</v>
      </c>
      <c r="J82" s="23" t="s">
        <v>46</v>
      </c>
      <c r="K82" s="39" t="s">
        <v>82</v>
      </c>
    </row>
    <row r="83" spans="1:11" s="39" customFormat="1" ht="15" customHeight="1" x14ac:dyDescent="0.4">
      <c r="A83" s="37" t="str">
        <f t="array" ref="A83">TEXT(WORKDAY(DATE($B$1,8,14)-1,1,IF('Holiday (Dates to Exclude)'!$D:$D=VLOOKUP($F83,'Holiday (Dates to Exclude)'!$A:$B,2,0),'Holiday (Dates to Exclude)'!$E:$E,)),"MM/DD/YY")</f>
        <v>08/14/19</v>
      </c>
      <c r="B83" s="64" t="str">
        <f t="shared" si="28"/>
        <v>Wed</v>
      </c>
      <c r="C83" s="64" t="str">
        <f t="shared" si="29"/>
        <v>Aug 2019</v>
      </c>
      <c r="D83" s="23" t="s">
        <v>173</v>
      </c>
      <c r="E83" s="23" t="s">
        <v>44</v>
      </c>
      <c r="F83" s="23" t="s">
        <v>146</v>
      </c>
      <c r="G83" s="64" t="str">
        <f t="shared" si="31"/>
        <v>Jul</v>
      </c>
      <c r="H83" s="64" t="str">
        <f t="shared" si="32"/>
        <v>07</v>
      </c>
      <c r="I83" s="64">
        <f t="shared" si="30"/>
        <v>2019</v>
      </c>
      <c r="J83" s="23" t="s">
        <v>46</v>
      </c>
      <c r="K83" s="39" t="s">
        <v>82</v>
      </c>
    </row>
    <row r="84" spans="1:11" s="39" customFormat="1" ht="15" customHeight="1" x14ac:dyDescent="0.4">
      <c r="A84" s="37" t="str">
        <f t="array" ref="A84">TEXT(WORKDAY(DATE($B$1,9,14)-1,1,IF('Holiday (Dates to Exclude)'!$D:$D=VLOOKUP($F84,'Holiday (Dates to Exclude)'!$A:$B,2,0),'Holiday (Dates to Exclude)'!$E:$E,)),"MM/DD/YY")</f>
        <v>09/16/19</v>
      </c>
      <c r="B84" s="64" t="str">
        <f t="shared" si="28"/>
        <v>Mon</v>
      </c>
      <c r="C84" s="64" t="str">
        <f t="shared" si="29"/>
        <v>Sep 2019</v>
      </c>
      <c r="D84" s="23" t="s">
        <v>173</v>
      </c>
      <c r="E84" s="23" t="s">
        <v>44</v>
      </c>
      <c r="F84" s="23" t="s">
        <v>146</v>
      </c>
      <c r="G84" s="64" t="str">
        <f t="shared" si="31"/>
        <v>Aug</v>
      </c>
      <c r="H84" s="64" t="str">
        <f t="shared" si="32"/>
        <v>08</v>
      </c>
      <c r="I84" s="64">
        <f t="shared" si="30"/>
        <v>2019</v>
      </c>
      <c r="J84" s="23" t="s">
        <v>46</v>
      </c>
      <c r="K84" s="39" t="s">
        <v>82</v>
      </c>
    </row>
    <row r="85" spans="1:11" s="39" customFormat="1" ht="15" customHeight="1" x14ac:dyDescent="0.4">
      <c r="A85" s="37" t="str">
        <f t="array" ref="A85">TEXT(WORKDAY(DATE($B$1,10,14)-1,1,IF('Holiday (Dates to Exclude)'!$D:$D=VLOOKUP($F85,'Holiday (Dates to Exclude)'!$A:$B,2,0),'Holiday (Dates to Exclude)'!$E:$E,)),"MM/DD/YY")</f>
        <v>10/14/19</v>
      </c>
      <c r="B85" s="64" t="str">
        <f t="shared" si="28"/>
        <v>Mon</v>
      </c>
      <c r="C85" s="64" t="str">
        <f t="shared" si="29"/>
        <v>Oct 2019</v>
      </c>
      <c r="D85" s="23" t="s">
        <v>173</v>
      </c>
      <c r="E85" s="23" t="s">
        <v>44</v>
      </c>
      <c r="F85" s="23" t="s">
        <v>146</v>
      </c>
      <c r="G85" s="64" t="str">
        <f t="shared" si="31"/>
        <v>Sep</v>
      </c>
      <c r="H85" s="64" t="str">
        <f t="shared" si="32"/>
        <v>09</v>
      </c>
      <c r="I85" s="64">
        <f t="shared" si="30"/>
        <v>2019</v>
      </c>
      <c r="J85" s="23" t="s">
        <v>46</v>
      </c>
      <c r="K85" s="39" t="s">
        <v>82</v>
      </c>
    </row>
    <row r="86" spans="1:11" s="39" customFormat="1" ht="15" customHeight="1" x14ac:dyDescent="0.4">
      <c r="A86" s="37" t="str">
        <f t="array" ref="A86">TEXT(WORKDAY(DATE($B$1,11,14)-1,1,IF('Holiday (Dates to Exclude)'!$D:$D=VLOOKUP($F86,'Holiday (Dates to Exclude)'!$A:$B,2,0),'Holiday (Dates to Exclude)'!$E:$E,)),"MM/DD/YY")</f>
        <v>11/14/19</v>
      </c>
      <c r="B86" s="64" t="str">
        <f t="shared" si="28"/>
        <v>Thu</v>
      </c>
      <c r="C86" s="64" t="str">
        <f t="shared" si="29"/>
        <v>Nov 2019</v>
      </c>
      <c r="D86" s="23" t="s">
        <v>173</v>
      </c>
      <c r="E86" s="23" t="s">
        <v>44</v>
      </c>
      <c r="F86" s="23" t="s">
        <v>146</v>
      </c>
      <c r="G86" s="64" t="str">
        <f t="shared" si="31"/>
        <v>Oct</v>
      </c>
      <c r="H86" s="64" t="str">
        <f t="shared" si="32"/>
        <v>10</v>
      </c>
      <c r="I86" s="64">
        <f t="shared" si="30"/>
        <v>2019</v>
      </c>
      <c r="J86" s="23" t="s">
        <v>46</v>
      </c>
      <c r="K86" s="39" t="s">
        <v>82</v>
      </c>
    </row>
    <row r="87" spans="1:11" s="39" customFormat="1" ht="15" customHeight="1" x14ac:dyDescent="0.4">
      <c r="A87" s="37" t="str">
        <f t="array" ref="A87">TEXT(WORKDAY(DATE($B$1,12,14)-1,1,IF('Holiday (Dates to Exclude)'!$D:$D=VLOOKUP($F87,'Holiday (Dates to Exclude)'!$A:$B,2,0),'Holiday (Dates to Exclude)'!$E:$E,)),"MM/DD/YY")</f>
        <v>12/16/19</v>
      </c>
      <c r="B87" s="64" t="str">
        <f t="shared" si="28"/>
        <v>Mon</v>
      </c>
      <c r="C87" s="64" t="str">
        <f t="shared" si="29"/>
        <v>Dec 2019</v>
      </c>
      <c r="D87" s="23" t="s">
        <v>173</v>
      </c>
      <c r="E87" s="23" t="s">
        <v>44</v>
      </c>
      <c r="F87" s="23" t="s">
        <v>146</v>
      </c>
      <c r="G87" s="64" t="str">
        <f t="shared" si="31"/>
        <v>Nov</v>
      </c>
      <c r="H87" s="64" t="str">
        <f t="shared" si="32"/>
        <v>11</v>
      </c>
      <c r="I87" s="64">
        <f t="shared" si="30"/>
        <v>2019</v>
      </c>
      <c r="J87" s="23" t="s">
        <v>46</v>
      </c>
      <c r="K87" s="39" t="s">
        <v>82</v>
      </c>
    </row>
    <row r="88" spans="1:11" s="39" customFormat="1" ht="15" customHeight="1" x14ac:dyDescent="0.4">
      <c r="A88" s="37"/>
      <c r="B88" s="64"/>
      <c r="C88" s="64"/>
      <c r="D88" s="23"/>
      <c r="E88" s="23"/>
      <c r="F88" s="23"/>
      <c r="G88" s="64"/>
      <c r="H88" s="64"/>
      <c r="I88" s="64"/>
      <c r="J88" s="23"/>
    </row>
    <row r="89" spans="1:11" s="34" customFormat="1" ht="15" customHeight="1" x14ac:dyDescent="0.4">
      <c r="A89" s="35" t="s">
        <v>90</v>
      </c>
      <c r="B89" s="36"/>
      <c r="C89" s="36"/>
      <c r="D89" s="35"/>
      <c r="E89" s="35"/>
      <c r="F89" s="35"/>
      <c r="G89" s="35"/>
      <c r="H89" s="35"/>
      <c r="I89" s="35"/>
      <c r="J89" s="35"/>
      <c r="K89" s="39"/>
    </row>
    <row r="90" spans="1:11" s="39" customFormat="1" ht="15" customHeight="1" x14ac:dyDescent="0.4">
      <c r="A90" s="37" t="str">
        <f>TEXT(WORKDAY(DATE($B$1,1,15)-1,1,IF('Holiday (Dates to Exclude)'!$D:$D=VLOOKUP($F90,'Holiday (Dates to Exclude)'!$A:$B,2,0),'Holiday (Dates to Exclude)'!$E:$E,)),"MM/DD/YY")</f>
        <v>01/15/19</v>
      </c>
      <c r="B90" s="64" t="str">
        <f t="shared" ref="B90:B101" si="33">TEXT($A90,"DDD")</f>
        <v>Tue</v>
      </c>
      <c r="C90" s="64" t="str">
        <f t="shared" ref="C90:C101" si="34">TEXT(A90,"MMM YYYY")</f>
        <v>Jan 2019</v>
      </c>
      <c r="D90" s="23" t="s">
        <v>170</v>
      </c>
      <c r="E90" s="23" t="s">
        <v>44</v>
      </c>
      <c r="F90" s="23" t="s">
        <v>146</v>
      </c>
      <c r="G90" s="64" t="str">
        <f>TEXT(EDATE($A90,-1),"MMM")</f>
        <v>Dec</v>
      </c>
      <c r="H90" s="64" t="str">
        <f>TEXT(EOMONTH($A90,-1),"MM")</f>
        <v>12</v>
      </c>
      <c r="I90" s="64">
        <f t="shared" ref="I90:I101" si="35">YEAR(A90)</f>
        <v>2019</v>
      </c>
      <c r="J90" s="23" t="s">
        <v>86</v>
      </c>
      <c r="K90" s="39" t="s">
        <v>82</v>
      </c>
    </row>
    <row r="91" spans="1:11" s="39" customFormat="1" ht="15" customHeight="1" x14ac:dyDescent="0.4">
      <c r="A91" s="37" t="str">
        <f t="array" ref="A91">TEXT(WORKDAY(DATE($B$1,2,15)-1,1,IF('Holiday (Dates to Exclude)'!$D:$D=VLOOKUP($F91,'Holiday (Dates to Exclude)'!$A:$B,2,0),'Holiday (Dates to Exclude)'!$E:$E,)),"MM/DD/YY")</f>
        <v>02/15/19</v>
      </c>
      <c r="B91" s="64" t="str">
        <f t="shared" si="33"/>
        <v>Fri</v>
      </c>
      <c r="C91" s="64" t="str">
        <f t="shared" si="34"/>
        <v>Feb 2019</v>
      </c>
      <c r="D91" s="23" t="s">
        <v>170</v>
      </c>
      <c r="E91" s="23" t="s">
        <v>44</v>
      </c>
      <c r="F91" s="23" t="s">
        <v>146</v>
      </c>
      <c r="G91" s="64" t="str">
        <f t="shared" ref="G91:G101" si="36">TEXT(EDATE($A91,-1),"MMM")</f>
        <v>Jan</v>
      </c>
      <c r="H91" s="64" t="str">
        <f t="shared" ref="H91:H101" si="37">TEXT(EOMONTH($A91,-1),"MM")</f>
        <v>01</v>
      </c>
      <c r="I91" s="64">
        <f t="shared" si="35"/>
        <v>2019</v>
      </c>
      <c r="J91" s="23" t="s">
        <v>86</v>
      </c>
      <c r="K91" s="39" t="s">
        <v>82</v>
      </c>
    </row>
    <row r="92" spans="1:11" s="39" customFormat="1" ht="15" customHeight="1" x14ac:dyDescent="0.4">
      <c r="A92" s="37" t="str">
        <f t="array" ref="A92">TEXT(WORKDAY(DATE($B$1,3,15)-1,1,IF('Holiday (Dates to Exclude)'!$D:$D=VLOOKUP($F92,'Holiday (Dates to Exclude)'!$A:$B,2,0),'Holiday (Dates to Exclude)'!$E:$E,)),"MM/DD/YY")</f>
        <v>03/15/19</v>
      </c>
      <c r="B92" s="64" t="str">
        <f t="shared" si="33"/>
        <v>Fri</v>
      </c>
      <c r="C92" s="64" t="str">
        <f t="shared" si="34"/>
        <v>Mar 2019</v>
      </c>
      <c r="D92" s="23" t="s">
        <v>170</v>
      </c>
      <c r="E92" s="23" t="s">
        <v>44</v>
      </c>
      <c r="F92" s="23" t="s">
        <v>146</v>
      </c>
      <c r="G92" s="64" t="str">
        <f t="shared" si="36"/>
        <v>Feb</v>
      </c>
      <c r="H92" s="64" t="str">
        <f t="shared" si="37"/>
        <v>02</v>
      </c>
      <c r="I92" s="64">
        <f t="shared" si="35"/>
        <v>2019</v>
      </c>
      <c r="J92" s="23" t="s">
        <v>86</v>
      </c>
      <c r="K92" s="39" t="s">
        <v>82</v>
      </c>
    </row>
    <row r="93" spans="1:11" s="39" customFormat="1" ht="15" customHeight="1" x14ac:dyDescent="0.4">
      <c r="A93" s="37" t="str">
        <f t="array" ref="A93">TEXT(WORKDAY(DATE($B$1,4,15)-1,1,IF('Holiday (Dates to Exclude)'!$D:$D=VLOOKUP($F93,'Holiday (Dates to Exclude)'!$A:$B,2,0),'Holiday (Dates to Exclude)'!$E:$E,)),"MM/DD/YY")</f>
        <v>04/15/19</v>
      </c>
      <c r="B93" s="64" t="str">
        <f t="shared" si="33"/>
        <v>Mon</v>
      </c>
      <c r="C93" s="64" t="str">
        <f t="shared" si="34"/>
        <v>Apr 2019</v>
      </c>
      <c r="D93" s="23" t="s">
        <v>170</v>
      </c>
      <c r="E93" s="23" t="s">
        <v>44</v>
      </c>
      <c r="F93" s="23" t="s">
        <v>146</v>
      </c>
      <c r="G93" s="64" t="str">
        <f t="shared" si="36"/>
        <v>Mar</v>
      </c>
      <c r="H93" s="64" t="str">
        <f t="shared" si="37"/>
        <v>03</v>
      </c>
      <c r="I93" s="64">
        <f t="shared" si="35"/>
        <v>2019</v>
      </c>
      <c r="J93" s="23" t="s">
        <v>86</v>
      </c>
      <c r="K93" s="39" t="s">
        <v>82</v>
      </c>
    </row>
    <row r="94" spans="1:11" s="39" customFormat="1" ht="15" customHeight="1" x14ac:dyDescent="0.4">
      <c r="A94" s="37" t="str">
        <f t="array" ref="A94">TEXT(WORKDAY(DATE($B$1,5,15)-1,1,IF('Holiday (Dates to Exclude)'!$D:$D=VLOOKUP($F94,'Holiday (Dates to Exclude)'!$A:$B,2,0),'Holiday (Dates to Exclude)'!$E:$E,)),"MM/DD/YY")</f>
        <v>05/15/19</v>
      </c>
      <c r="B94" s="64" t="str">
        <f t="shared" si="33"/>
        <v>Wed</v>
      </c>
      <c r="C94" s="64" t="str">
        <f t="shared" si="34"/>
        <v>May 2019</v>
      </c>
      <c r="D94" s="23" t="s">
        <v>170</v>
      </c>
      <c r="E94" s="23" t="s">
        <v>44</v>
      </c>
      <c r="F94" s="23" t="s">
        <v>146</v>
      </c>
      <c r="G94" s="64" t="str">
        <f t="shared" si="36"/>
        <v>Apr</v>
      </c>
      <c r="H94" s="64" t="str">
        <f t="shared" si="37"/>
        <v>04</v>
      </c>
      <c r="I94" s="64">
        <f t="shared" si="35"/>
        <v>2019</v>
      </c>
      <c r="J94" s="23" t="s">
        <v>86</v>
      </c>
      <c r="K94" s="39" t="s">
        <v>82</v>
      </c>
    </row>
    <row r="95" spans="1:11" s="39" customFormat="1" ht="15" customHeight="1" x14ac:dyDescent="0.4">
      <c r="A95" s="37" t="str">
        <f t="array" ref="A95">TEXT(WORKDAY(DATE($B$1,6,15)-1,1,IF('Holiday (Dates to Exclude)'!$D:$D=VLOOKUP($F95,'Holiday (Dates to Exclude)'!$A:$B,2,0),'Holiday (Dates to Exclude)'!$E:$E,)),"MM/DD/YY")</f>
        <v>06/17/19</v>
      </c>
      <c r="B95" s="64" t="str">
        <f t="shared" si="33"/>
        <v>Mon</v>
      </c>
      <c r="C95" s="64" t="str">
        <f t="shared" si="34"/>
        <v>Jun 2019</v>
      </c>
      <c r="D95" s="23" t="s">
        <v>170</v>
      </c>
      <c r="E95" s="23" t="s">
        <v>44</v>
      </c>
      <c r="F95" s="23" t="s">
        <v>146</v>
      </c>
      <c r="G95" s="64" t="str">
        <f t="shared" si="36"/>
        <v>May</v>
      </c>
      <c r="H95" s="64" t="str">
        <f t="shared" si="37"/>
        <v>05</v>
      </c>
      <c r="I95" s="64">
        <f t="shared" si="35"/>
        <v>2019</v>
      </c>
      <c r="J95" s="23" t="s">
        <v>86</v>
      </c>
      <c r="K95" s="39" t="s">
        <v>82</v>
      </c>
    </row>
    <row r="96" spans="1:11" s="39" customFormat="1" ht="15" customHeight="1" x14ac:dyDescent="0.4">
      <c r="A96" s="37" t="str">
        <f t="array" ref="A96">TEXT(WORKDAY(DATE($B$1,7,15)-1,1,IF('Holiday (Dates to Exclude)'!$D:$D=VLOOKUP($F96,'Holiday (Dates to Exclude)'!$A:$B,2,0),'Holiday (Dates to Exclude)'!$E:$E,)),"MM/DD/YY")</f>
        <v>07/15/19</v>
      </c>
      <c r="B96" s="64" t="str">
        <f t="shared" si="33"/>
        <v>Mon</v>
      </c>
      <c r="C96" s="64" t="str">
        <f t="shared" si="34"/>
        <v>Jul 2019</v>
      </c>
      <c r="D96" s="23" t="s">
        <v>170</v>
      </c>
      <c r="E96" s="23" t="s">
        <v>44</v>
      </c>
      <c r="F96" s="23" t="s">
        <v>146</v>
      </c>
      <c r="G96" s="64" t="str">
        <f t="shared" si="36"/>
        <v>Jun</v>
      </c>
      <c r="H96" s="64" t="str">
        <f t="shared" si="37"/>
        <v>06</v>
      </c>
      <c r="I96" s="64">
        <f t="shared" si="35"/>
        <v>2019</v>
      </c>
      <c r="J96" s="23" t="s">
        <v>86</v>
      </c>
      <c r="K96" s="39" t="s">
        <v>82</v>
      </c>
    </row>
    <row r="97" spans="1:12" s="39" customFormat="1" ht="15" customHeight="1" x14ac:dyDescent="0.4">
      <c r="A97" s="37" t="str">
        <f t="array" ref="A97">TEXT(WORKDAY(DATE($B$1,8,15)-1,1,IF('Holiday (Dates to Exclude)'!$D:$D=VLOOKUP($F97,'Holiday (Dates to Exclude)'!$A:$B,2,0),'Holiday (Dates to Exclude)'!$E:$E,)),"MM/DD/YY")</f>
        <v>08/15/19</v>
      </c>
      <c r="B97" s="64" t="str">
        <f t="shared" si="33"/>
        <v>Thu</v>
      </c>
      <c r="C97" s="64" t="str">
        <f t="shared" si="34"/>
        <v>Aug 2019</v>
      </c>
      <c r="D97" s="23" t="s">
        <v>170</v>
      </c>
      <c r="E97" s="23" t="s">
        <v>44</v>
      </c>
      <c r="F97" s="23" t="s">
        <v>146</v>
      </c>
      <c r="G97" s="64" t="str">
        <f t="shared" si="36"/>
        <v>Jul</v>
      </c>
      <c r="H97" s="64" t="str">
        <f t="shared" si="37"/>
        <v>07</v>
      </c>
      <c r="I97" s="64">
        <f t="shared" si="35"/>
        <v>2019</v>
      </c>
      <c r="J97" s="23" t="s">
        <v>86</v>
      </c>
      <c r="K97" s="39" t="s">
        <v>82</v>
      </c>
    </row>
    <row r="98" spans="1:12" s="39" customFormat="1" ht="15" customHeight="1" x14ac:dyDescent="0.4">
      <c r="A98" s="37" t="str">
        <f t="array" ref="A98">TEXT(WORKDAY(DATE($B$1,9,15)-1,1,IF('Holiday (Dates to Exclude)'!$D:$D=VLOOKUP($F98,'Holiday (Dates to Exclude)'!$A:$B,2,0),'Holiday (Dates to Exclude)'!$E:$E,)),"MM/DD/YY")</f>
        <v>09/16/19</v>
      </c>
      <c r="B98" s="64" t="str">
        <f t="shared" si="33"/>
        <v>Mon</v>
      </c>
      <c r="C98" s="64" t="str">
        <f t="shared" si="34"/>
        <v>Sep 2019</v>
      </c>
      <c r="D98" s="23" t="s">
        <v>170</v>
      </c>
      <c r="E98" s="23" t="s">
        <v>44</v>
      </c>
      <c r="F98" s="23" t="s">
        <v>146</v>
      </c>
      <c r="G98" s="64" t="str">
        <f t="shared" si="36"/>
        <v>Aug</v>
      </c>
      <c r="H98" s="64" t="str">
        <f t="shared" si="37"/>
        <v>08</v>
      </c>
      <c r="I98" s="64">
        <f t="shared" si="35"/>
        <v>2019</v>
      </c>
      <c r="J98" s="23" t="s">
        <v>86</v>
      </c>
      <c r="K98" s="39" t="s">
        <v>82</v>
      </c>
    </row>
    <row r="99" spans="1:12" s="39" customFormat="1" ht="15" customHeight="1" x14ac:dyDescent="0.4">
      <c r="A99" s="37" t="str">
        <f t="array" ref="A99">TEXT(WORKDAY(DATE($B$1,10,15)-1,1,IF('Holiday (Dates to Exclude)'!$D:$D=VLOOKUP($F99,'Holiday (Dates to Exclude)'!$A:$B,2,0),'Holiday (Dates to Exclude)'!$E:$E,)),"MM/DD/YY")</f>
        <v>10/15/19</v>
      </c>
      <c r="B99" s="64" t="str">
        <f t="shared" si="33"/>
        <v>Tue</v>
      </c>
      <c r="C99" s="64" t="str">
        <f t="shared" si="34"/>
        <v>Oct 2019</v>
      </c>
      <c r="D99" s="23" t="s">
        <v>170</v>
      </c>
      <c r="E99" s="23" t="s">
        <v>44</v>
      </c>
      <c r="F99" s="23" t="s">
        <v>146</v>
      </c>
      <c r="G99" s="64" t="str">
        <f t="shared" si="36"/>
        <v>Sep</v>
      </c>
      <c r="H99" s="64" t="str">
        <f t="shared" si="37"/>
        <v>09</v>
      </c>
      <c r="I99" s="64">
        <f t="shared" si="35"/>
        <v>2019</v>
      </c>
      <c r="J99" s="23" t="s">
        <v>86</v>
      </c>
      <c r="K99" s="39" t="s">
        <v>82</v>
      </c>
    </row>
    <row r="100" spans="1:12" s="39" customFormat="1" ht="15" customHeight="1" x14ac:dyDescent="0.4">
      <c r="A100" s="37" t="str">
        <f t="array" ref="A100">TEXT(WORKDAY(DATE($B$1,11,15)-1,1,IF('Holiday (Dates to Exclude)'!$D:$D=VLOOKUP($F100,'Holiday (Dates to Exclude)'!$A:$B,2,0),'Holiday (Dates to Exclude)'!$E:$E,)),"MM/DD/YY")</f>
        <v>11/15/19</v>
      </c>
      <c r="B100" s="64" t="str">
        <f t="shared" si="33"/>
        <v>Fri</v>
      </c>
      <c r="C100" s="64" t="str">
        <f t="shared" si="34"/>
        <v>Nov 2019</v>
      </c>
      <c r="D100" s="23" t="s">
        <v>170</v>
      </c>
      <c r="E100" s="23" t="s">
        <v>44</v>
      </c>
      <c r="F100" s="23" t="s">
        <v>146</v>
      </c>
      <c r="G100" s="64" t="str">
        <f t="shared" si="36"/>
        <v>Oct</v>
      </c>
      <c r="H100" s="64" t="str">
        <f t="shared" si="37"/>
        <v>10</v>
      </c>
      <c r="I100" s="64">
        <f t="shared" si="35"/>
        <v>2019</v>
      </c>
      <c r="J100" s="23" t="s">
        <v>86</v>
      </c>
      <c r="K100" s="39" t="s">
        <v>82</v>
      </c>
    </row>
    <row r="101" spans="1:12" s="39" customFormat="1" ht="15" customHeight="1" x14ac:dyDescent="0.4">
      <c r="A101" s="37" t="str">
        <f t="array" ref="A101">TEXT(WORKDAY(DATE($B$1,12,15)-1,1,IF('Holiday (Dates to Exclude)'!$D:$D=VLOOKUP($F101,'Holiday (Dates to Exclude)'!$A:$B,2,0),'Holiday (Dates to Exclude)'!$E:$E,)),"MM/DD/YY")</f>
        <v>12/16/19</v>
      </c>
      <c r="B101" s="64" t="str">
        <f t="shared" si="33"/>
        <v>Mon</v>
      </c>
      <c r="C101" s="64" t="str">
        <f t="shared" si="34"/>
        <v>Dec 2019</v>
      </c>
      <c r="D101" s="23" t="s">
        <v>170</v>
      </c>
      <c r="E101" s="23" t="s">
        <v>44</v>
      </c>
      <c r="F101" s="23" t="s">
        <v>146</v>
      </c>
      <c r="G101" s="64" t="str">
        <f t="shared" si="36"/>
        <v>Nov</v>
      </c>
      <c r="H101" s="64" t="str">
        <f t="shared" si="37"/>
        <v>11</v>
      </c>
      <c r="I101" s="64">
        <f t="shared" si="35"/>
        <v>2019</v>
      </c>
      <c r="J101" s="23" t="s">
        <v>86</v>
      </c>
      <c r="K101" s="39" t="s">
        <v>82</v>
      </c>
    </row>
    <row r="102" spans="1:12" s="39" customFormat="1" ht="15" customHeight="1" x14ac:dyDescent="0.4">
      <c r="A102" s="37"/>
      <c r="B102" s="64"/>
      <c r="C102" s="64"/>
      <c r="D102" s="23"/>
      <c r="E102" s="23"/>
      <c r="F102" s="23"/>
      <c r="G102" s="64"/>
      <c r="H102" s="64"/>
      <c r="I102" s="64"/>
      <c r="J102" s="23"/>
    </row>
    <row r="103" spans="1:12" s="34" customFormat="1" ht="15" customHeight="1" x14ac:dyDescent="0.4">
      <c r="A103" s="35" t="s">
        <v>91</v>
      </c>
      <c r="B103" s="36"/>
      <c r="C103" s="36"/>
      <c r="D103" s="35"/>
      <c r="E103" s="35"/>
      <c r="F103" s="35"/>
      <c r="G103" s="35"/>
      <c r="H103" s="35"/>
      <c r="I103" s="35"/>
      <c r="J103" s="35"/>
      <c r="K103" s="39"/>
    </row>
    <row r="104" spans="1:12" s="39" customFormat="1" ht="15" customHeight="1" x14ac:dyDescent="0.4">
      <c r="A104" s="37" t="str">
        <f>TEXT(WORKDAY(DATE($B$1,1,16)-1,1,IF('Holiday (Dates to Exclude)'!$D:$D=VLOOKUP($F104,'Holiday (Dates to Exclude)'!$A:$B,2,0),'Holiday (Dates to Exclude)'!$E:$E,)),"MM/DD/YY")</f>
        <v>01/16/19</v>
      </c>
      <c r="B104" s="64" t="str">
        <f t="shared" ref="B104:B115" si="38">TEXT($A104,"DDD")</f>
        <v>Wed</v>
      </c>
      <c r="C104" s="64" t="str">
        <f t="shared" ref="C104:C115" si="39">TEXT(A104,"MMM YYYY")</f>
        <v>Jan 2019</v>
      </c>
      <c r="D104" s="67" t="s">
        <v>174</v>
      </c>
      <c r="E104" s="67" t="s">
        <v>44</v>
      </c>
      <c r="F104" s="23" t="s">
        <v>158</v>
      </c>
      <c r="G104" s="64" t="str">
        <f>TEXT(EDATE($A104,-1),"MMM")</f>
        <v>Dec</v>
      </c>
      <c r="H104" s="64" t="str">
        <f>TEXT(EOMONTH($A104,-1),"MM")</f>
        <v>12</v>
      </c>
      <c r="I104" s="64">
        <f t="shared" ref="I104:I115" si="40">YEAR(A104)</f>
        <v>2019</v>
      </c>
      <c r="J104" s="23" t="s">
        <v>47</v>
      </c>
      <c r="K104" s="39" t="s">
        <v>82</v>
      </c>
    </row>
    <row r="105" spans="1:12" s="39" customFormat="1" ht="15" customHeight="1" x14ac:dyDescent="0.4">
      <c r="A105" s="37" t="str">
        <f t="array" ref="A105">TEXT(WORKDAY(DATE($B$1,2,16)-1,1,IF('Holiday (Dates to Exclude)'!$D:$D=VLOOKUP($F105,'Holiday (Dates to Exclude)'!$A:$B,2,0),'Holiday (Dates to Exclude)'!$E:$E,)),"MM/DD/YY")</f>
        <v>02/18/19</v>
      </c>
      <c r="B105" s="64" t="str">
        <f t="shared" si="38"/>
        <v>Mon</v>
      </c>
      <c r="C105" s="64" t="str">
        <f t="shared" si="39"/>
        <v>Feb 2019</v>
      </c>
      <c r="D105" s="67" t="s">
        <v>174</v>
      </c>
      <c r="E105" s="67" t="s">
        <v>44</v>
      </c>
      <c r="F105" s="23" t="s">
        <v>158</v>
      </c>
      <c r="G105" s="64" t="str">
        <f t="shared" ref="G105:G115" si="41">TEXT(EDATE($A105,-1),"MMM")</f>
        <v>Jan</v>
      </c>
      <c r="H105" s="64" t="str">
        <f t="shared" ref="H105:H115" si="42">TEXT(EOMONTH($A105,-1),"MM")</f>
        <v>01</v>
      </c>
      <c r="I105" s="64">
        <f t="shared" si="40"/>
        <v>2019</v>
      </c>
      <c r="J105" s="23" t="s">
        <v>47</v>
      </c>
      <c r="K105" s="39" t="s">
        <v>82</v>
      </c>
    </row>
    <row r="106" spans="1:12" s="39" customFormat="1" ht="15" customHeight="1" x14ac:dyDescent="0.4">
      <c r="A106" s="37" t="str">
        <f t="array" ref="A106">TEXT(WORKDAY(DATE($B$1,3,16)-1,1,IF('Holiday (Dates to Exclude)'!$D:$D=VLOOKUP($F106,'Holiday (Dates to Exclude)'!$A:$B,2,0),'Holiday (Dates to Exclude)'!$E:$E,)),"MM/DD/YY")</f>
        <v>03/18/19</v>
      </c>
      <c r="B106" s="64" t="str">
        <f t="shared" si="38"/>
        <v>Mon</v>
      </c>
      <c r="C106" s="64" t="str">
        <f t="shared" si="39"/>
        <v>Mar 2019</v>
      </c>
      <c r="D106" s="67" t="s">
        <v>174</v>
      </c>
      <c r="E106" s="67" t="s">
        <v>44</v>
      </c>
      <c r="F106" s="23" t="s">
        <v>158</v>
      </c>
      <c r="G106" s="64" t="str">
        <f t="shared" si="41"/>
        <v>Feb</v>
      </c>
      <c r="H106" s="64" t="str">
        <f t="shared" si="42"/>
        <v>02</v>
      </c>
      <c r="I106" s="64">
        <f t="shared" si="40"/>
        <v>2019</v>
      </c>
      <c r="J106" s="23" t="s">
        <v>47</v>
      </c>
      <c r="K106" s="39" t="s">
        <v>82</v>
      </c>
    </row>
    <row r="107" spans="1:12" s="39" customFormat="1" ht="15" customHeight="1" x14ac:dyDescent="0.4">
      <c r="A107" s="37" t="str">
        <f t="array" ref="A107">TEXT(WORKDAY(DATE($B$1,4,16)-1,1,IF('Holiday (Dates to Exclude)'!$D:$D=VLOOKUP($F107,'Holiday (Dates to Exclude)'!$A:$B,2,0),'Holiday (Dates to Exclude)'!$E:$E,)),"MM/DD/YY")</f>
        <v>04/16/19</v>
      </c>
      <c r="B107" s="64" t="str">
        <f t="shared" si="38"/>
        <v>Tue</v>
      </c>
      <c r="C107" s="64" t="str">
        <f t="shared" si="39"/>
        <v>Apr 2019</v>
      </c>
      <c r="D107" s="67" t="s">
        <v>174</v>
      </c>
      <c r="E107" s="67" t="s">
        <v>44</v>
      </c>
      <c r="F107" s="23" t="s">
        <v>158</v>
      </c>
      <c r="G107" s="64" t="str">
        <f t="shared" si="41"/>
        <v>Mar</v>
      </c>
      <c r="H107" s="64" t="str">
        <f t="shared" si="42"/>
        <v>03</v>
      </c>
      <c r="I107" s="64">
        <f t="shared" si="40"/>
        <v>2019</v>
      </c>
      <c r="J107" s="23" t="s">
        <v>47</v>
      </c>
      <c r="K107" s="39" t="s">
        <v>82</v>
      </c>
      <c r="L107" s="39" t="s">
        <v>102</v>
      </c>
    </row>
    <row r="108" spans="1:12" s="39" customFormat="1" ht="15" customHeight="1" x14ac:dyDescent="0.4">
      <c r="A108" s="37" t="str">
        <f t="array" ref="A108">TEXT(WORKDAY(DATE($B$1,5,16)-1,1,IF('Holiday (Dates to Exclude)'!$D:$D=VLOOKUP($F108,'Holiday (Dates to Exclude)'!$A:$B,2,0),'Holiday (Dates to Exclude)'!$E:$E,)),"MM/DD/YY")</f>
        <v>05/16/19</v>
      </c>
      <c r="B108" s="64" t="str">
        <f t="shared" si="38"/>
        <v>Thu</v>
      </c>
      <c r="C108" s="64" t="str">
        <f t="shared" si="39"/>
        <v>May 2019</v>
      </c>
      <c r="D108" s="67" t="s">
        <v>174</v>
      </c>
      <c r="E108" s="67" t="s">
        <v>44</v>
      </c>
      <c r="F108" s="23" t="s">
        <v>158</v>
      </c>
      <c r="G108" s="64" t="str">
        <f t="shared" si="41"/>
        <v>Apr</v>
      </c>
      <c r="H108" s="64" t="str">
        <f t="shared" si="42"/>
        <v>04</v>
      </c>
      <c r="I108" s="64">
        <f t="shared" si="40"/>
        <v>2019</v>
      </c>
      <c r="J108" s="23" t="s">
        <v>47</v>
      </c>
      <c r="K108" s="39" t="s">
        <v>82</v>
      </c>
    </row>
    <row r="109" spans="1:12" s="39" customFormat="1" ht="15" customHeight="1" x14ac:dyDescent="0.4">
      <c r="A109" s="37" t="str">
        <f t="array" ref="A109">TEXT(WORKDAY(DATE($B$1,6,16)-1,1,IF('Holiday (Dates to Exclude)'!$D:$D=VLOOKUP($F109,'Holiday (Dates to Exclude)'!$A:$B,2,0),'Holiday (Dates to Exclude)'!$E:$E,)),"MM/DD/YY")</f>
        <v>06/17/19</v>
      </c>
      <c r="B109" s="64" t="str">
        <f t="shared" si="38"/>
        <v>Mon</v>
      </c>
      <c r="C109" s="64" t="str">
        <f t="shared" si="39"/>
        <v>Jun 2019</v>
      </c>
      <c r="D109" s="67" t="s">
        <v>174</v>
      </c>
      <c r="E109" s="67" t="s">
        <v>44</v>
      </c>
      <c r="F109" s="23" t="s">
        <v>158</v>
      </c>
      <c r="G109" s="64" t="str">
        <f t="shared" si="41"/>
        <v>May</v>
      </c>
      <c r="H109" s="64" t="str">
        <f t="shared" si="42"/>
        <v>05</v>
      </c>
      <c r="I109" s="64">
        <f t="shared" si="40"/>
        <v>2019</v>
      </c>
      <c r="J109" s="23" t="s">
        <v>47</v>
      </c>
      <c r="K109" s="39" t="s">
        <v>82</v>
      </c>
    </row>
    <row r="110" spans="1:12" s="39" customFormat="1" ht="15" customHeight="1" x14ac:dyDescent="0.4">
      <c r="A110" s="37" t="str">
        <f t="array" ref="A110">TEXT(WORKDAY(DATE($B$1,7,16)-1,1,IF('Holiday (Dates to Exclude)'!$D:$D=VLOOKUP($F110,'Holiday (Dates to Exclude)'!$A:$B,2,0),'Holiday (Dates to Exclude)'!$E:$E,)),"MM/DD/YY")</f>
        <v>07/16/19</v>
      </c>
      <c r="B110" s="64" t="str">
        <f t="shared" si="38"/>
        <v>Tue</v>
      </c>
      <c r="C110" s="64" t="str">
        <f t="shared" si="39"/>
        <v>Jul 2019</v>
      </c>
      <c r="D110" s="67" t="s">
        <v>174</v>
      </c>
      <c r="E110" s="67" t="s">
        <v>44</v>
      </c>
      <c r="F110" s="23" t="s">
        <v>158</v>
      </c>
      <c r="G110" s="64" t="str">
        <f t="shared" si="41"/>
        <v>Jun</v>
      </c>
      <c r="H110" s="64" t="str">
        <f t="shared" si="42"/>
        <v>06</v>
      </c>
      <c r="I110" s="64">
        <f t="shared" si="40"/>
        <v>2019</v>
      </c>
      <c r="J110" s="23" t="s">
        <v>47</v>
      </c>
      <c r="K110" s="39" t="s">
        <v>82</v>
      </c>
    </row>
    <row r="111" spans="1:12" s="39" customFormat="1" ht="15" customHeight="1" x14ac:dyDescent="0.4">
      <c r="A111" s="37" t="str">
        <f t="array" ref="A111">TEXT(WORKDAY(DATE($B$1,8,16)-1,1,IF('Holiday (Dates to Exclude)'!$D:$D=VLOOKUP($F111,'Holiday (Dates to Exclude)'!$A:$B,2,0),'Holiday (Dates to Exclude)'!$E:$E,)),"MM/DD/YY")</f>
        <v>08/16/19</v>
      </c>
      <c r="B111" s="64" t="str">
        <f t="shared" si="38"/>
        <v>Fri</v>
      </c>
      <c r="C111" s="64" t="str">
        <f t="shared" si="39"/>
        <v>Aug 2019</v>
      </c>
      <c r="D111" s="67" t="s">
        <v>174</v>
      </c>
      <c r="E111" s="67" t="s">
        <v>44</v>
      </c>
      <c r="F111" s="23" t="s">
        <v>158</v>
      </c>
      <c r="G111" s="64" t="str">
        <f t="shared" si="41"/>
        <v>Jul</v>
      </c>
      <c r="H111" s="64" t="str">
        <f t="shared" si="42"/>
        <v>07</v>
      </c>
      <c r="I111" s="64">
        <f t="shared" si="40"/>
        <v>2019</v>
      </c>
      <c r="J111" s="23" t="s">
        <v>47</v>
      </c>
      <c r="K111" s="39" t="s">
        <v>82</v>
      </c>
    </row>
    <row r="112" spans="1:12" s="39" customFormat="1" ht="15" customHeight="1" x14ac:dyDescent="0.4">
      <c r="A112" s="37" t="str">
        <f t="array" ref="A112">TEXT(WORKDAY(DATE($B$1,9,16)-1,1,IF('Holiday (Dates to Exclude)'!$D:$D=VLOOKUP($F112,'Holiday (Dates to Exclude)'!$A:$B,2,0),'Holiday (Dates to Exclude)'!$E:$E,)),"MM/DD/YY")</f>
        <v>09/16/19</v>
      </c>
      <c r="B112" s="64" t="str">
        <f t="shared" si="38"/>
        <v>Mon</v>
      </c>
      <c r="C112" s="64" t="str">
        <f t="shared" si="39"/>
        <v>Sep 2019</v>
      </c>
      <c r="D112" s="67" t="s">
        <v>174</v>
      </c>
      <c r="E112" s="67" t="s">
        <v>44</v>
      </c>
      <c r="F112" s="23" t="s">
        <v>158</v>
      </c>
      <c r="G112" s="64" t="str">
        <f t="shared" si="41"/>
        <v>Aug</v>
      </c>
      <c r="H112" s="64" t="str">
        <f t="shared" si="42"/>
        <v>08</v>
      </c>
      <c r="I112" s="64">
        <f t="shared" si="40"/>
        <v>2019</v>
      </c>
      <c r="J112" s="23" t="s">
        <v>47</v>
      </c>
      <c r="K112" s="39" t="s">
        <v>82</v>
      </c>
    </row>
    <row r="113" spans="1:12" s="39" customFormat="1" ht="15" customHeight="1" x14ac:dyDescent="0.4">
      <c r="A113" s="37" t="str">
        <f t="array" ref="A113">TEXT(WORKDAY(DATE($B$1,10,16)-1,1,IF('Holiday (Dates to Exclude)'!$D:$D=VLOOKUP($F113,'Holiday (Dates to Exclude)'!$A:$B,2,0),'Holiday (Dates to Exclude)'!$E:$E,)),"MM/DD/YY")</f>
        <v>10/16/19</v>
      </c>
      <c r="B113" s="64" t="str">
        <f t="shared" si="38"/>
        <v>Wed</v>
      </c>
      <c r="C113" s="64" t="str">
        <f t="shared" si="39"/>
        <v>Oct 2019</v>
      </c>
      <c r="D113" s="67" t="s">
        <v>174</v>
      </c>
      <c r="E113" s="67" t="s">
        <v>44</v>
      </c>
      <c r="F113" s="23" t="s">
        <v>158</v>
      </c>
      <c r="G113" s="64" t="str">
        <f t="shared" si="41"/>
        <v>Sep</v>
      </c>
      <c r="H113" s="64" t="str">
        <f t="shared" si="42"/>
        <v>09</v>
      </c>
      <c r="I113" s="64">
        <f t="shared" si="40"/>
        <v>2019</v>
      </c>
      <c r="J113" s="23" t="s">
        <v>47</v>
      </c>
      <c r="K113" s="39" t="s">
        <v>82</v>
      </c>
    </row>
    <row r="114" spans="1:12" s="39" customFormat="1" ht="15" customHeight="1" x14ac:dyDescent="0.4">
      <c r="A114" s="37" t="str">
        <f t="array" ref="A114">TEXT(WORKDAY(DATE($B$1,11,16)-1,1,IF('Holiday (Dates to Exclude)'!$D:$D=VLOOKUP($F114,'Holiday (Dates to Exclude)'!$A:$B,2,0),'Holiday (Dates to Exclude)'!$E:$E,)),"MM/DD/YY")</f>
        <v>11/18/19</v>
      </c>
      <c r="B114" s="64" t="str">
        <f t="shared" si="38"/>
        <v>Mon</v>
      </c>
      <c r="C114" s="64" t="str">
        <f t="shared" si="39"/>
        <v>Nov 2019</v>
      </c>
      <c r="D114" s="67" t="s">
        <v>174</v>
      </c>
      <c r="E114" s="67" t="s">
        <v>44</v>
      </c>
      <c r="F114" s="23" t="s">
        <v>158</v>
      </c>
      <c r="G114" s="64" t="str">
        <f t="shared" si="41"/>
        <v>Oct</v>
      </c>
      <c r="H114" s="64" t="str">
        <f t="shared" si="42"/>
        <v>10</v>
      </c>
      <c r="I114" s="64">
        <f t="shared" si="40"/>
        <v>2019</v>
      </c>
      <c r="J114" s="23" t="s">
        <v>47</v>
      </c>
      <c r="K114" s="39" t="s">
        <v>82</v>
      </c>
    </row>
    <row r="115" spans="1:12" s="39" customFormat="1" ht="15" customHeight="1" x14ac:dyDescent="0.4">
      <c r="A115" s="37" t="str">
        <f t="array" ref="A115">TEXT(WORKDAY(DATE($B$1,12,16)-1,1,IF('Holiday (Dates to Exclude)'!$D:$D=VLOOKUP($F115,'Holiday (Dates to Exclude)'!$A:$B,2,0),'Holiday (Dates to Exclude)'!$E:$E,)),"MM/DD/YY")</f>
        <v>12/16/19</v>
      </c>
      <c r="B115" s="64" t="str">
        <f t="shared" si="38"/>
        <v>Mon</v>
      </c>
      <c r="C115" s="64" t="str">
        <f t="shared" si="39"/>
        <v>Dec 2019</v>
      </c>
      <c r="D115" s="67" t="s">
        <v>174</v>
      </c>
      <c r="E115" s="67" t="s">
        <v>44</v>
      </c>
      <c r="F115" s="23" t="s">
        <v>158</v>
      </c>
      <c r="G115" s="64" t="str">
        <f t="shared" si="41"/>
        <v>Nov</v>
      </c>
      <c r="H115" s="64" t="str">
        <f t="shared" si="42"/>
        <v>11</v>
      </c>
      <c r="I115" s="64">
        <f t="shared" si="40"/>
        <v>2019</v>
      </c>
      <c r="J115" s="23" t="s">
        <v>47</v>
      </c>
      <c r="K115" s="39" t="s">
        <v>82</v>
      </c>
    </row>
    <row r="116" spans="1:12" s="39" customFormat="1" ht="15" customHeight="1" x14ac:dyDescent="0.4">
      <c r="A116" s="37"/>
      <c r="B116" s="64"/>
      <c r="C116" s="64"/>
      <c r="D116" s="23"/>
      <c r="E116" s="23"/>
      <c r="F116" s="23"/>
      <c r="G116" s="64"/>
      <c r="H116" s="64"/>
      <c r="I116" s="64"/>
      <c r="J116" s="23"/>
    </row>
    <row r="117" spans="1:12" s="34" customFormat="1" ht="15" customHeight="1" x14ac:dyDescent="0.4">
      <c r="A117" s="35" t="s">
        <v>93</v>
      </c>
      <c r="B117" s="36"/>
      <c r="C117" s="36"/>
      <c r="D117" s="35"/>
      <c r="E117" s="35"/>
      <c r="F117" s="35"/>
      <c r="G117" s="35"/>
      <c r="H117" s="35"/>
      <c r="I117" s="35"/>
      <c r="J117" s="35"/>
      <c r="K117" s="39"/>
    </row>
    <row r="118" spans="1:12" s="39" customFormat="1" ht="15" customHeight="1" x14ac:dyDescent="0.4">
      <c r="A118" s="37" t="str">
        <f>TEXT(WORKDAY(DATE($B$1,1,18)-1,1,IF('Holiday (Dates to Exclude)'!$D:$D=VLOOKUP($F118,'Holiday (Dates to Exclude)'!$A:$B,2,0),'Holiday (Dates to Exclude)'!$E:$E,)),"MM/DD/YY")</f>
        <v>01/18/19</v>
      </c>
      <c r="B118" s="64" t="str">
        <f t="shared" ref="B118:B129" si="43">TEXT($A118,"DDD")</f>
        <v>Fri</v>
      </c>
      <c r="C118" s="64" t="str">
        <f t="shared" ref="C118:C129" si="44">TEXT(A118,"MMM YYYY")</f>
        <v>Jan 2019</v>
      </c>
      <c r="D118" s="23" t="s">
        <v>174</v>
      </c>
      <c r="E118" s="23" t="s">
        <v>44</v>
      </c>
      <c r="F118" s="23" t="s">
        <v>146</v>
      </c>
      <c r="G118" s="64" t="str">
        <f>TEXT(EDATE($A118,-1),"MMM")</f>
        <v>Dec</v>
      </c>
      <c r="H118" s="64" t="str">
        <f>TEXT(EOMONTH($A118,-1),"MM")</f>
        <v>12</v>
      </c>
      <c r="I118" s="64">
        <f t="shared" ref="I118:I129" si="45">YEAR(A118)</f>
        <v>2019</v>
      </c>
      <c r="J118" s="23" t="s">
        <v>48</v>
      </c>
      <c r="K118" s="39" t="s">
        <v>82</v>
      </c>
    </row>
    <row r="119" spans="1:12" s="39" customFormat="1" ht="15" customHeight="1" x14ac:dyDescent="0.4">
      <c r="A119" s="37" t="str">
        <f t="array" ref="A119">TEXT(WORKDAY(DATE($B$1,2,18)-1,1,IF('Holiday (Dates to Exclude)'!$D:$D=VLOOKUP($F119,'Holiday (Dates to Exclude)'!$A:$B,2,0),'Holiday (Dates to Exclude)'!$E:$E,)),"MM/DD/YY")</f>
        <v>02/18/19</v>
      </c>
      <c r="B119" s="64" t="str">
        <f t="shared" si="43"/>
        <v>Mon</v>
      </c>
      <c r="C119" s="64" t="str">
        <f t="shared" si="44"/>
        <v>Feb 2019</v>
      </c>
      <c r="D119" s="23" t="s">
        <v>174</v>
      </c>
      <c r="E119" s="23" t="s">
        <v>44</v>
      </c>
      <c r="F119" s="23" t="s">
        <v>146</v>
      </c>
      <c r="G119" s="64" t="str">
        <f t="shared" ref="G119:G129" si="46">TEXT(EDATE($A119,-1),"MMM")</f>
        <v>Jan</v>
      </c>
      <c r="H119" s="64" t="str">
        <f t="shared" ref="H119:H129" si="47">TEXT(EOMONTH($A119,-1),"MM")</f>
        <v>01</v>
      </c>
      <c r="I119" s="64">
        <f t="shared" si="45"/>
        <v>2019</v>
      </c>
      <c r="J119" s="23" t="s">
        <v>48</v>
      </c>
      <c r="K119" s="39" t="s">
        <v>82</v>
      </c>
      <c r="L119" s="39" t="s">
        <v>103</v>
      </c>
    </row>
    <row r="120" spans="1:12" s="39" customFormat="1" ht="15" customHeight="1" x14ac:dyDescent="0.4">
      <c r="A120" s="37" t="str">
        <f t="array" ref="A120">TEXT(WORKDAY(DATE($B$1,3,18)-1,1,IF('Holiday (Dates to Exclude)'!$D:$D=VLOOKUP($F120,'Holiday (Dates to Exclude)'!$A:$B,2,0),'Holiday (Dates to Exclude)'!$E:$E,)),"MM/DD/YY")</f>
        <v>03/18/19</v>
      </c>
      <c r="B120" s="64" t="str">
        <f t="shared" si="43"/>
        <v>Mon</v>
      </c>
      <c r="C120" s="64" t="str">
        <f t="shared" si="44"/>
        <v>Mar 2019</v>
      </c>
      <c r="D120" s="23" t="s">
        <v>174</v>
      </c>
      <c r="E120" s="23" t="s">
        <v>44</v>
      </c>
      <c r="F120" s="23" t="s">
        <v>146</v>
      </c>
      <c r="G120" s="64" t="str">
        <f t="shared" si="46"/>
        <v>Feb</v>
      </c>
      <c r="H120" s="64" t="str">
        <f t="shared" si="47"/>
        <v>02</v>
      </c>
      <c r="I120" s="64">
        <f t="shared" si="45"/>
        <v>2019</v>
      </c>
      <c r="J120" s="23" t="s">
        <v>48</v>
      </c>
      <c r="K120" s="39" t="s">
        <v>82</v>
      </c>
    </row>
    <row r="121" spans="1:12" s="39" customFormat="1" ht="15" customHeight="1" x14ac:dyDescent="0.4">
      <c r="A121" s="37" t="str">
        <f t="array" ref="A121">TEXT(WORKDAY(DATE($B$1,4,18)-1,1,IF('Holiday (Dates to Exclude)'!$D:$D=VLOOKUP($F121,'Holiday (Dates to Exclude)'!$A:$B,2,0),'Holiday (Dates to Exclude)'!$E:$E,)),"MM/DD/YY")</f>
        <v>04/18/19</v>
      </c>
      <c r="B121" s="64" t="str">
        <f t="shared" si="43"/>
        <v>Thu</v>
      </c>
      <c r="C121" s="64" t="str">
        <f t="shared" si="44"/>
        <v>Apr 2019</v>
      </c>
      <c r="D121" s="23" t="s">
        <v>174</v>
      </c>
      <c r="E121" s="23" t="s">
        <v>44</v>
      </c>
      <c r="F121" s="23" t="s">
        <v>146</v>
      </c>
      <c r="G121" s="64" t="str">
        <f t="shared" si="46"/>
        <v>Mar</v>
      </c>
      <c r="H121" s="64" t="str">
        <f t="shared" si="47"/>
        <v>03</v>
      </c>
      <c r="I121" s="64">
        <f t="shared" si="45"/>
        <v>2019</v>
      </c>
      <c r="J121" s="23" t="s">
        <v>48</v>
      </c>
      <c r="K121" s="39" t="s">
        <v>82</v>
      </c>
    </row>
    <row r="122" spans="1:12" s="39" customFormat="1" ht="15" customHeight="1" x14ac:dyDescent="0.4">
      <c r="A122" s="37" t="str">
        <f t="array" ref="A122">TEXT(WORKDAY(DATE($B$1,5,18)-1,1,IF('Holiday (Dates to Exclude)'!$D:$D=VLOOKUP($F122,'Holiday (Dates to Exclude)'!$A:$B,2,0),'Holiday (Dates to Exclude)'!$E:$E,)),"MM/DD/YY")</f>
        <v>05/20/19</v>
      </c>
      <c r="B122" s="64" t="str">
        <f t="shared" si="43"/>
        <v>Mon</v>
      </c>
      <c r="C122" s="64" t="str">
        <f t="shared" si="44"/>
        <v>May 2019</v>
      </c>
      <c r="D122" s="23" t="s">
        <v>174</v>
      </c>
      <c r="E122" s="23" t="s">
        <v>44</v>
      </c>
      <c r="F122" s="23" t="s">
        <v>146</v>
      </c>
      <c r="G122" s="64" t="str">
        <f t="shared" si="46"/>
        <v>Apr</v>
      </c>
      <c r="H122" s="64" t="str">
        <f t="shared" si="47"/>
        <v>04</v>
      </c>
      <c r="I122" s="64">
        <f t="shared" si="45"/>
        <v>2019</v>
      </c>
      <c r="J122" s="23" t="s">
        <v>48</v>
      </c>
      <c r="K122" s="39" t="s">
        <v>82</v>
      </c>
    </row>
    <row r="123" spans="1:12" s="39" customFormat="1" ht="15" customHeight="1" x14ac:dyDescent="0.4">
      <c r="A123" s="37" t="str">
        <f t="array" ref="A123">TEXT(WORKDAY(DATE($B$1,6,18)-1,1,IF('Holiday (Dates to Exclude)'!$D:$D=VLOOKUP($F123,'Holiday (Dates to Exclude)'!$A:$B,2,0),'Holiday (Dates to Exclude)'!$E:$E,)),"MM/DD/YY")</f>
        <v>06/18/19</v>
      </c>
      <c r="B123" s="64" t="str">
        <f t="shared" si="43"/>
        <v>Tue</v>
      </c>
      <c r="C123" s="64" t="str">
        <f t="shared" si="44"/>
        <v>Jun 2019</v>
      </c>
      <c r="D123" s="23" t="s">
        <v>174</v>
      </c>
      <c r="E123" s="23" t="s">
        <v>44</v>
      </c>
      <c r="F123" s="23" t="s">
        <v>146</v>
      </c>
      <c r="G123" s="64" t="str">
        <f t="shared" si="46"/>
        <v>May</v>
      </c>
      <c r="H123" s="64" t="str">
        <f t="shared" si="47"/>
        <v>05</v>
      </c>
      <c r="I123" s="64">
        <f t="shared" si="45"/>
        <v>2019</v>
      </c>
      <c r="J123" s="23" t="s">
        <v>48</v>
      </c>
      <c r="K123" s="39" t="s">
        <v>82</v>
      </c>
    </row>
    <row r="124" spans="1:12" s="39" customFormat="1" ht="15" customHeight="1" x14ac:dyDescent="0.4">
      <c r="A124" s="37" t="str">
        <f t="array" ref="A124">TEXT(WORKDAY(DATE($B$1,7,18)-1,1,IF('Holiday (Dates to Exclude)'!$D:$D=VLOOKUP($F124,'Holiday (Dates to Exclude)'!$A:$B,2,0),'Holiday (Dates to Exclude)'!$E:$E,)),"MM/DD/YY")</f>
        <v>07/18/19</v>
      </c>
      <c r="B124" s="64" t="str">
        <f t="shared" si="43"/>
        <v>Thu</v>
      </c>
      <c r="C124" s="64" t="str">
        <f t="shared" si="44"/>
        <v>Jul 2019</v>
      </c>
      <c r="D124" s="23" t="s">
        <v>174</v>
      </c>
      <c r="E124" s="23" t="s">
        <v>44</v>
      </c>
      <c r="F124" s="23" t="s">
        <v>146</v>
      </c>
      <c r="G124" s="64" t="str">
        <f t="shared" si="46"/>
        <v>Jun</v>
      </c>
      <c r="H124" s="64" t="str">
        <f t="shared" si="47"/>
        <v>06</v>
      </c>
      <c r="I124" s="64">
        <f t="shared" si="45"/>
        <v>2019</v>
      </c>
      <c r="J124" s="23" t="s">
        <v>48</v>
      </c>
      <c r="K124" s="39" t="s">
        <v>82</v>
      </c>
      <c r="L124" s="34" t="s">
        <v>92</v>
      </c>
    </row>
    <row r="125" spans="1:12" s="39" customFormat="1" ht="15" customHeight="1" x14ac:dyDescent="0.4">
      <c r="A125" s="37" t="str">
        <f t="array" ref="A125">TEXT(WORKDAY(DATE($B$1,8,18)-1,1,IF('Holiday (Dates to Exclude)'!$D:$D=VLOOKUP($F125,'Holiday (Dates to Exclude)'!$A:$B,2,0),'Holiday (Dates to Exclude)'!$E:$E,)),"MM/DD/YY")</f>
        <v>08/19/19</v>
      </c>
      <c r="B125" s="64" t="str">
        <f t="shared" si="43"/>
        <v>Mon</v>
      </c>
      <c r="C125" s="64" t="str">
        <f t="shared" si="44"/>
        <v>Aug 2019</v>
      </c>
      <c r="D125" s="23" t="s">
        <v>174</v>
      </c>
      <c r="E125" s="23" t="s">
        <v>44</v>
      </c>
      <c r="F125" s="23" t="s">
        <v>146</v>
      </c>
      <c r="G125" s="64" t="str">
        <f t="shared" si="46"/>
        <v>Jul</v>
      </c>
      <c r="H125" s="64" t="str">
        <f t="shared" si="47"/>
        <v>07</v>
      </c>
      <c r="I125" s="64">
        <f t="shared" si="45"/>
        <v>2019</v>
      </c>
      <c r="J125" s="23" t="s">
        <v>48</v>
      </c>
      <c r="K125" s="39" t="s">
        <v>82</v>
      </c>
    </row>
    <row r="126" spans="1:12" s="39" customFormat="1" ht="15" customHeight="1" x14ac:dyDescent="0.4">
      <c r="A126" s="37" t="str">
        <f t="array" ref="A126">TEXT(WORKDAY(DATE($B$1,9,18)-1,1,IF('Holiday (Dates to Exclude)'!$D:$D=VLOOKUP($F126,'Holiday (Dates to Exclude)'!$A:$B,2,0),'Holiday (Dates to Exclude)'!$E:$E,)),"MM/DD/YY")</f>
        <v>09/18/19</v>
      </c>
      <c r="B126" s="64" t="str">
        <f t="shared" si="43"/>
        <v>Wed</v>
      </c>
      <c r="C126" s="64" t="str">
        <f t="shared" si="44"/>
        <v>Sep 2019</v>
      </c>
      <c r="D126" s="23" t="s">
        <v>174</v>
      </c>
      <c r="E126" s="23" t="s">
        <v>44</v>
      </c>
      <c r="F126" s="23" t="s">
        <v>146</v>
      </c>
      <c r="G126" s="64" t="str">
        <f t="shared" si="46"/>
        <v>Aug</v>
      </c>
      <c r="H126" s="64" t="str">
        <f t="shared" si="47"/>
        <v>08</v>
      </c>
      <c r="I126" s="64">
        <f t="shared" si="45"/>
        <v>2019</v>
      </c>
      <c r="J126" s="23" t="s">
        <v>48</v>
      </c>
      <c r="K126" s="39" t="s">
        <v>82</v>
      </c>
    </row>
    <row r="127" spans="1:12" s="39" customFormat="1" ht="15" customHeight="1" x14ac:dyDescent="0.4">
      <c r="A127" s="37" t="str">
        <f t="array" ref="A127">TEXT(WORKDAY(DATE($B$1,10,18)-1,1,IF('Holiday (Dates to Exclude)'!$D:$D=VLOOKUP($F127,'Holiday (Dates to Exclude)'!$A:$B,2,0),'Holiday (Dates to Exclude)'!$E:$E,)),"MM/DD/YY")</f>
        <v>10/18/19</v>
      </c>
      <c r="B127" s="64" t="str">
        <f t="shared" si="43"/>
        <v>Fri</v>
      </c>
      <c r="C127" s="64" t="str">
        <f t="shared" si="44"/>
        <v>Oct 2019</v>
      </c>
      <c r="D127" s="23" t="s">
        <v>174</v>
      </c>
      <c r="E127" s="23" t="s">
        <v>44</v>
      </c>
      <c r="F127" s="23" t="s">
        <v>146</v>
      </c>
      <c r="G127" s="64" t="str">
        <f t="shared" si="46"/>
        <v>Sep</v>
      </c>
      <c r="H127" s="64" t="str">
        <f t="shared" si="47"/>
        <v>09</v>
      </c>
      <c r="I127" s="64">
        <f t="shared" si="45"/>
        <v>2019</v>
      </c>
      <c r="J127" s="23" t="s">
        <v>48</v>
      </c>
      <c r="K127" s="39" t="s">
        <v>82</v>
      </c>
    </row>
    <row r="128" spans="1:12" s="39" customFormat="1" ht="15" customHeight="1" x14ac:dyDescent="0.4">
      <c r="A128" s="37" t="str">
        <f t="array" ref="A128">TEXT(WORKDAY(DATE($B$1,11,18)-1,1,IF('Holiday (Dates to Exclude)'!$D:$D=VLOOKUP($F128,'Holiday (Dates to Exclude)'!$A:$B,2,0),'Holiday (Dates to Exclude)'!$E:$E,)),"MM/DD/YY")</f>
        <v>11/18/19</v>
      </c>
      <c r="B128" s="64" t="str">
        <f t="shared" si="43"/>
        <v>Mon</v>
      </c>
      <c r="C128" s="64" t="str">
        <f t="shared" si="44"/>
        <v>Nov 2019</v>
      </c>
      <c r="D128" s="23" t="s">
        <v>174</v>
      </c>
      <c r="E128" s="23" t="s">
        <v>44</v>
      </c>
      <c r="F128" s="23" t="s">
        <v>146</v>
      </c>
      <c r="G128" s="64" t="str">
        <f t="shared" si="46"/>
        <v>Oct</v>
      </c>
      <c r="H128" s="64" t="str">
        <f t="shared" si="47"/>
        <v>10</v>
      </c>
      <c r="I128" s="64">
        <f t="shared" si="45"/>
        <v>2019</v>
      </c>
      <c r="J128" s="23" t="s">
        <v>48</v>
      </c>
      <c r="K128" s="39" t="s">
        <v>82</v>
      </c>
    </row>
    <row r="129" spans="1:12" s="39" customFormat="1" ht="15" customHeight="1" x14ac:dyDescent="0.4">
      <c r="A129" s="37" t="str">
        <f t="array" ref="A129">TEXT(WORKDAY(DATE($B$1,12,18)-1,1,IF('Holiday (Dates to Exclude)'!$D:$D=VLOOKUP($F129,'Holiday (Dates to Exclude)'!$A:$B,2,0),'Holiday (Dates to Exclude)'!$E:$E,)),"MM/DD/YY")</f>
        <v>12/18/19</v>
      </c>
      <c r="B129" s="64" t="str">
        <f t="shared" si="43"/>
        <v>Wed</v>
      </c>
      <c r="C129" s="64" t="str">
        <f t="shared" si="44"/>
        <v>Dec 2019</v>
      </c>
      <c r="D129" s="23" t="s">
        <v>174</v>
      </c>
      <c r="E129" s="23" t="s">
        <v>44</v>
      </c>
      <c r="F129" s="23" t="s">
        <v>146</v>
      </c>
      <c r="G129" s="64" t="str">
        <f t="shared" si="46"/>
        <v>Nov</v>
      </c>
      <c r="H129" s="64" t="str">
        <f t="shared" si="47"/>
        <v>11</v>
      </c>
      <c r="I129" s="64">
        <f t="shared" si="45"/>
        <v>2019</v>
      </c>
      <c r="J129" s="23" t="s">
        <v>48</v>
      </c>
      <c r="K129" s="39" t="s">
        <v>82</v>
      </c>
    </row>
    <row r="130" spans="1:12" s="39" customFormat="1" ht="15" customHeight="1" x14ac:dyDescent="0.4">
      <c r="A130" s="37"/>
      <c r="B130" s="64"/>
      <c r="C130" s="64"/>
      <c r="D130" s="23"/>
      <c r="E130" s="23"/>
      <c r="F130" s="23"/>
      <c r="G130" s="64"/>
      <c r="H130" s="64"/>
      <c r="I130" s="64"/>
      <c r="J130" s="23"/>
    </row>
    <row r="131" spans="1:12" s="34" customFormat="1" ht="15" customHeight="1" x14ac:dyDescent="0.4">
      <c r="A131" s="35" t="s">
        <v>180</v>
      </c>
      <c r="B131" s="36"/>
      <c r="C131" s="36"/>
      <c r="D131" s="35"/>
      <c r="E131" s="35"/>
      <c r="F131" s="35"/>
      <c r="G131" s="35"/>
      <c r="H131" s="35"/>
      <c r="I131" s="35"/>
      <c r="J131" s="35"/>
      <c r="K131" s="39"/>
    </row>
    <row r="132" spans="1:12" s="39" customFormat="1" ht="15" customHeight="1" x14ac:dyDescent="0.4">
      <c r="A132" s="37" t="str">
        <f>TEXT(WORKDAY(DATE($B$1,1,19)-1,1,IF('Holiday (Dates to Exclude)'!$D:$D=VLOOKUP($F132,'Holiday (Dates to Exclude)'!$A:$B,2,0),'Holiday (Dates to Exclude)'!$E:$E,)),"MM/DD/YY")</f>
        <v>01/21/19</v>
      </c>
      <c r="B132" s="64" t="str">
        <f t="shared" ref="B132:B143" si="48">TEXT($A132,"DDD")</f>
        <v>Mon</v>
      </c>
      <c r="C132" s="64" t="str">
        <f t="shared" ref="C132:C143" si="49">TEXT(A132,"MMM YYYY")</f>
        <v>Jan 2019</v>
      </c>
      <c r="D132" s="67" t="s">
        <v>175</v>
      </c>
      <c r="E132" s="67" t="s">
        <v>44</v>
      </c>
      <c r="F132" s="23" t="s">
        <v>160</v>
      </c>
      <c r="G132" s="64" t="str">
        <f>TEXT(EDATE($A132,-2),"MMM")</f>
        <v>Nov</v>
      </c>
      <c r="H132" s="64" t="str">
        <f>TEXT(EOMONTH($A132,-2),"MM")</f>
        <v>11</v>
      </c>
      <c r="I132" s="64">
        <f t="shared" ref="I132:I143" si="50">YEAR(A132)</f>
        <v>2019</v>
      </c>
      <c r="J132" s="23" t="s">
        <v>38</v>
      </c>
      <c r="K132" s="39" t="s">
        <v>82</v>
      </c>
    </row>
    <row r="133" spans="1:12" s="39" customFormat="1" ht="15" customHeight="1" x14ac:dyDescent="0.4">
      <c r="A133" s="37" t="str">
        <f t="array" ref="A133">TEXT(WORKDAY(DATE($B$1,2,19)-1,1,IF('Holiday (Dates to Exclude)'!$D:$D=VLOOKUP($F133,'Holiday (Dates to Exclude)'!$A:$B,2,0),'Holiday (Dates to Exclude)'!$E:$E,)),"MM/DD/YY")</f>
        <v>02/19/19</v>
      </c>
      <c r="B133" s="64" t="str">
        <f t="shared" si="48"/>
        <v>Tue</v>
      </c>
      <c r="C133" s="64" t="str">
        <f t="shared" si="49"/>
        <v>Feb 2019</v>
      </c>
      <c r="D133" s="67" t="s">
        <v>175</v>
      </c>
      <c r="E133" s="67" t="s">
        <v>44</v>
      </c>
      <c r="F133" s="23" t="s">
        <v>160</v>
      </c>
      <c r="G133" s="64" t="str">
        <f t="shared" ref="G133:G143" si="51">TEXT(EDATE($A133,-2),"MMM")</f>
        <v>Dec</v>
      </c>
      <c r="H133" s="64" t="str">
        <f t="shared" ref="H133:H143" si="52">TEXT(EOMONTH($A133,-2),"MM")</f>
        <v>12</v>
      </c>
      <c r="I133" s="64">
        <f t="shared" si="50"/>
        <v>2019</v>
      </c>
      <c r="J133" s="23" t="s">
        <v>38</v>
      </c>
      <c r="K133" s="39" t="s">
        <v>82</v>
      </c>
    </row>
    <row r="134" spans="1:12" s="39" customFormat="1" ht="15" customHeight="1" x14ac:dyDescent="0.4">
      <c r="A134" s="37" t="str">
        <f t="array" ref="A134">TEXT(WORKDAY(DATE($B$1,3,19)-1,1,IF('Holiday (Dates to Exclude)'!$D:$D=VLOOKUP($F134,'Holiday (Dates to Exclude)'!$A:$B,2,0),'Holiday (Dates to Exclude)'!$E:$E,)),"MM/DD/YY")</f>
        <v>03/19/19</v>
      </c>
      <c r="B134" s="64" t="str">
        <f t="shared" si="48"/>
        <v>Tue</v>
      </c>
      <c r="C134" s="64" t="str">
        <f t="shared" si="49"/>
        <v>Mar 2019</v>
      </c>
      <c r="D134" s="67" t="s">
        <v>175</v>
      </c>
      <c r="E134" s="67" t="s">
        <v>44</v>
      </c>
      <c r="F134" s="23" t="s">
        <v>160</v>
      </c>
      <c r="G134" s="64" t="str">
        <f t="shared" si="51"/>
        <v>Jan</v>
      </c>
      <c r="H134" s="64" t="str">
        <f t="shared" si="52"/>
        <v>01</v>
      </c>
      <c r="I134" s="64">
        <f t="shared" si="50"/>
        <v>2019</v>
      </c>
      <c r="J134" s="23" t="s">
        <v>38</v>
      </c>
      <c r="K134" s="39" t="s">
        <v>82</v>
      </c>
    </row>
    <row r="135" spans="1:12" s="39" customFormat="1" ht="15" customHeight="1" x14ac:dyDescent="0.4">
      <c r="A135" s="37" t="str">
        <f t="array" ref="A135">TEXT(WORKDAY(DATE($B$1,4,19)-1,1,IF('Holiday (Dates to Exclude)'!$D:$D=VLOOKUP($F135,'Holiday (Dates to Exclude)'!$A:$B,2,0),'Holiday (Dates to Exclude)'!$E:$E,)),"MM/DD/YY")</f>
        <v>04/19/19</v>
      </c>
      <c r="B135" s="64" t="str">
        <f t="shared" si="48"/>
        <v>Fri</v>
      </c>
      <c r="C135" s="64" t="str">
        <f t="shared" si="49"/>
        <v>Apr 2019</v>
      </c>
      <c r="D135" s="67" t="s">
        <v>175</v>
      </c>
      <c r="E135" s="67" t="s">
        <v>44</v>
      </c>
      <c r="F135" s="23" t="s">
        <v>160</v>
      </c>
      <c r="G135" s="64" t="str">
        <f t="shared" si="51"/>
        <v>Feb</v>
      </c>
      <c r="H135" s="64" t="str">
        <f t="shared" si="52"/>
        <v>02</v>
      </c>
      <c r="I135" s="64">
        <f t="shared" si="50"/>
        <v>2019</v>
      </c>
      <c r="J135" s="23" t="s">
        <v>38</v>
      </c>
      <c r="K135" s="39" t="s">
        <v>82</v>
      </c>
    </row>
    <row r="136" spans="1:12" s="39" customFormat="1" ht="15" customHeight="1" x14ac:dyDescent="0.4">
      <c r="A136" s="37" t="str">
        <f t="array" ref="A136">TEXT(WORKDAY(DATE($B$1,5,19)-1,1,IF('Holiday (Dates to Exclude)'!$D:$D=VLOOKUP($F136,'Holiday (Dates to Exclude)'!$A:$B,2,0),'Holiday (Dates to Exclude)'!$E:$E,)),"MM/DD/YY")</f>
        <v>05/20/19</v>
      </c>
      <c r="B136" s="64" t="str">
        <f t="shared" si="48"/>
        <v>Mon</v>
      </c>
      <c r="C136" s="64" t="str">
        <f t="shared" si="49"/>
        <v>May 2019</v>
      </c>
      <c r="D136" s="67" t="s">
        <v>175</v>
      </c>
      <c r="E136" s="67" t="s">
        <v>44</v>
      </c>
      <c r="F136" s="23" t="s">
        <v>160</v>
      </c>
      <c r="G136" s="64" t="str">
        <f t="shared" si="51"/>
        <v>Mar</v>
      </c>
      <c r="H136" s="64" t="str">
        <f t="shared" si="52"/>
        <v>03</v>
      </c>
      <c r="I136" s="64">
        <f t="shared" si="50"/>
        <v>2019</v>
      </c>
      <c r="J136" s="23" t="s">
        <v>38</v>
      </c>
      <c r="K136" s="39" t="s">
        <v>82</v>
      </c>
    </row>
    <row r="137" spans="1:12" s="39" customFormat="1" ht="15" customHeight="1" x14ac:dyDescent="0.4">
      <c r="A137" s="37" t="str">
        <f t="array" ref="A137">TEXT(WORKDAY(DATE($B$1,6,19)-1,1,IF('Holiday (Dates to Exclude)'!$D:$D=VLOOKUP($F137,'Holiday (Dates to Exclude)'!$A:$B,2,0),'Holiday (Dates to Exclude)'!$E:$E,)),"MM/DD/YY")</f>
        <v>06/19/19</v>
      </c>
      <c r="B137" s="64" t="str">
        <f t="shared" si="48"/>
        <v>Wed</v>
      </c>
      <c r="C137" s="64" t="str">
        <f t="shared" si="49"/>
        <v>Jun 2019</v>
      </c>
      <c r="D137" s="67" t="s">
        <v>175</v>
      </c>
      <c r="E137" s="67" t="s">
        <v>44</v>
      </c>
      <c r="F137" s="23" t="s">
        <v>160</v>
      </c>
      <c r="G137" s="64" t="str">
        <f t="shared" si="51"/>
        <v>Apr</v>
      </c>
      <c r="H137" s="64" t="str">
        <f t="shared" si="52"/>
        <v>04</v>
      </c>
      <c r="I137" s="64">
        <f t="shared" si="50"/>
        <v>2019</v>
      </c>
      <c r="J137" s="23" t="s">
        <v>38</v>
      </c>
      <c r="K137" s="39" t="s">
        <v>82</v>
      </c>
    </row>
    <row r="138" spans="1:12" s="39" customFormat="1" ht="15" customHeight="1" x14ac:dyDescent="0.4">
      <c r="A138" s="37" t="str">
        <f t="array" ref="A138">TEXT(WORKDAY(DATE($B$1,7,19)-1,1,IF('Holiday (Dates to Exclude)'!$D:$D=VLOOKUP($F138,'Holiday (Dates to Exclude)'!$A:$B,2,0),'Holiday (Dates to Exclude)'!$E:$E,)),"MM/DD/YY")</f>
        <v>07/19/19</v>
      </c>
      <c r="B138" s="64" t="str">
        <f t="shared" si="48"/>
        <v>Fri</v>
      </c>
      <c r="C138" s="64" t="str">
        <f t="shared" si="49"/>
        <v>Jul 2019</v>
      </c>
      <c r="D138" s="67" t="s">
        <v>175</v>
      </c>
      <c r="E138" s="67" t="s">
        <v>44</v>
      </c>
      <c r="F138" s="23" t="s">
        <v>160</v>
      </c>
      <c r="G138" s="64" t="str">
        <f t="shared" si="51"/>
        <v>May</v>
      </c>
      <c r="H138" s="64" t="str">
        <f t="shared" si="52"/>
        <v>05</v>
      </c>
      <c r="I138" s="64">
        <f t="shared" si="50"/>
        <v>2019</v>
      </c>
      <c r="J138" s="23" t="s">
        <v>38</v>
      </c>
      <c r="K138" s="39" t="s">
        <v>82</v>
      </c>
      <c r="L138" s="34" t="s">
        <v>92</v>
      </c>
    </row>
    <row r="139" spans="1:12" s="39" customFormat="1" ht="15" customHeight="1" x14ac:dyDescent="0.4">
      <c r="A139" s="37" t="str">
        <f t="array" ref="A139">TEXT(WORKDAY(DATE($B$1,8,19)-1,1,IF('Holiday (Dates to Exclude)'!$D:$D=VLOOKUP($F139,'Holiday (Dates to Exclude)'!$A:$B,2,0),'Holiday (Dates to Exclude)'!$E:$E,)),"MM/DD/YY")</f>
        <v>08/19/19</v>
      </c>
      <c r="B139" s="64" t="str">
        <f t="shared" si="48"/>
        <v>Mon</v>
      </c>
      <c r="C139" s="64" t="str">
        <f t="shared" si="49"/>
        <v>Aug 2019</v>
      </c>
      <c r="D139" s="67" t="s">
        <v>175</v>
      </c>
      <c r="E139" s="67" t="s">
        <v>44</v>
      </c>
      <c r="F139" s="23" t="s">
        <v>160</v>
      </c>
      <c r="G139" s="64" t="str">
        <f t="shared" si="51"/>
        <v>Jun</v>
      </c>
      <c r="H139" s="64" t="str">
        <f t="shared" si="52"/>
        <v>06</v>
      </c>
      <c r="I139" s="64">
        <f t="shared" si="50"/>
        <v>2019</v>
      </c>
      <c r="J139" s="23" t="s">
        <v>38</v>
      </c>
      <c r="K139" s="39" t="s">
        <v>82</v>
      </c>
    </row>
    <row r="140" spans="1:12" s="39" customFormat="1" ht="15" customHeight="1" x14ac:dyDescent="0.4">
      <c r="A140" s="37" t="str">
        <f t="array" ref="A140">TEXT(WORKDAY(DATE($B$1,9,19)-1,1,IF('Holiday (Dates to Exclude)'!$D:$D=VLOOKUP($F140,'Holiday (Dates to Exclude)'!$A:$B,2,0),'Holiday (Dates to Exclude)'!$E:$E,)),"MM/DD/YY")</f>
        <v>09/19/19</v>
      </c>
      <c r="B140" s="64" t="str">
        <f t="shared" si="48"/>
        <v>Thu</v>
      </c>
      <c r="C140" s="64" t="str">
        <f t="shared" si="49"/>
        <v>Sep 2019</v>
      </c>
      <c r="D140" s="67" t="s">
        <v>175</v>
      </c>
      <c r="E140" s="67" t="s">
        <v>44</v>
      </c>
      <c r="F140" s="23" t="s">
        <v>160</v>
      </c>
      <c r="G140" s="64" t="str">
        <f t="shared" si="51"/>
        <v>Jul</v>
      </c>
      <c r="H140" s="64" t="str">
        <f t="shared" si="52"/>
        <v>07</v>
      </c>
      <c r="I140" s="64">
        <f t="shared" si="50"/>
        <v>2019</v>
      </c>
      <c r="J140" s="23" t="s">
        <v>38</v>
      </c>
      <c r="K140" s="39" t="s">
        <v>82</v>
      </c>
    </row>
    <row r="141" spans="1:12" s="39" customFormat="1" ht="15" customHeight="1" x14ac:dyDescent="0.4">
      <c r="A141" s="37" t="str">
        <f t="array" ref="A141">TEXT(WORKDAY(DATE($B$1,10,19)-1,1,IF('Holiday (Dates to Exclude)'!$D:$D=VLOOKUP($F141,'Holiday (Dates to Exclude)'!$A:$B,2,0),'Holiday (Dates to Exclude)'!$E:$E,)),"MM/DD/YY")</f>
        <v>10/21/19</v>
      </c>
      <c r="B141" s="64" t="str">
        <f t="shared" si="48"/>
        <v>Mon</v>
      </c>
      <c r="C141" s="64" t="str">
        <f t="shared" si="49"/>
        <v>Oct 2019</v>
      </c>
      <c r="D141" s="67" t="s">
        <v>175</v>
      </c>
      <c r="E141" s="67" t="s">
        <v>44</v>
      </c>
      <c r="F141" s="23" t="s">
        <v>160</v>
      </c>
      <c r="G141" s="64" t="str">
        <f t="shared" si="51"/>
        <v>Aug</v>
      </c>
      <c r="H141" s="64" t="str">
        <f t="shared" si="52"/>
        <v>08</v>
      </c>
      <c r="I141" s="64">
        <f t="shared" si="50"/>
        <v>2019</v>
      </c>
      <c r="J141" s="23" t="s">
        <v>38</v>
      </c>
      <c r="K141" s="39" t="s">
        <v>82</v>
      </c>
    </row>
    <row r="142" spans="1:12" s="39" customFormat="1" ht="15" customHeight="1" x14ac:dyDescent="0.4">
      <c r="A142" s="37" t="str">
        <f t="array" ref="A142">TEXT(WORKDAY(DATE($B$1,11,19)-1,1,IF('Holiday (Dates to Exclude)'!$D:$D=VLOOKUP($F142,'Holiday (Dates to Exclude)'!$A:$B,2,0),'Holiday (Dates to Exclude)'!$E:$E,)),"MM/DD/YY")</f>
        <v>11/19/19</v>
      </c>
      <c r="B142" s="64" t="str">
        <f t="shared" si="48"/>
        <v>Tue</v>
      </c>
      <c r="C142" s="64" t="str">
        <f t="shared" si="49"/>
        <v>Nov 2019</v>
      </c>
      <c r="D142" s="67" t="s">
        <v>175</v>
      </c>
      <c r="E142" s="67" t="s">
        <v>44</v>
      </c>
      <c r="F142" s="23" t="s">
        <v>160</v>
      </c>
      <c r="G142" s="64" t="str">
        <f t="shared" si="51"/>
        <v>Sep</v>
      </c>
      <c r="H142" s="64" t="str">
        <f t="shared" si="52"/>
        <v>09</v>
      </c>
      <c r="I142" s="64">
        <f t="shared" si="50"/>
        <v>2019</v>
      </c>
      <c r="J142" s="23" t="s">
        <v>38</v>
      </c>
      <c r="K142" s="39" t="s">
        <v>82</v>
      </c>
    </row>
    <row r="143" spans="1:12" s="39" customFormat="1" ht="15" customHeight="1" x14ac:dyDescent="0.4">
      <c r="A143" s="37" t="str">
        <f t="array" ref="A143">TEXT(WORKDAY(DATE($B$1,12,19)-1,1,IF('Holiday (Dates to Exclude)'!$D:$D=VLOOKUP($F143,'Holiday (Dates to Exclude)'!$A:$B,2,0),'Holiday (Dates to Exclude)'!$E:$E,)),"MM/DD/YY")</f>
        <v>12/19/19</v>
      </c>
      <c r="B143" s="64" t="str">
        <f t="shared" si="48"/>
        <v>Thu</v>
      </c>
      <c r="C143" s="64" t="str">
        <f t="shared" si="49"/>
        <v>Dec 2019</v>
      </c>
      <c r="D143" s="67" t="s">
        <v>175</v>
      </c>
      <c r="E143" s="67" t="s">
        <v>44</v>
      </c>
      <c r="F143" s="23" t="s">
        <v>160</v>
      </c>
      <c r="G143" s="64" t="str">
        <f t="shared" si="51"/>
        <v>Oct</v>
      </c>
      <c r="H143" s="64" t="str">
        <f t="shared" si="52"/>
        <v>10</v>
      </c>
      <c r="I143" s="64">
        <f t="shared" si="50"/>
        <v>2019</v>
      </c>
      <c r="J143" s="23" t="s">
        <v>38</v>
      </c>
      <c r="K143" s="39" t="s">
        <v>82</v>
      </c>
    </row>
    <row r="144" spans="1:12" s="39" customFormat="1" ht="15" customHeight="1" x14ac:dyDescent="0.4">
      <c r="A144" s="37"/>
      <c r="B144" s="64"/>
      <c r="C144" s="64"/>
      <c r="D144" s="23"/>
      <c r="E144" s="23"/>
      <c r="F144" s="23"/>
      <c r="G144" s="64"/>
      <c r="H144" s="64"/>
      <c r="I144" s="64"/>
      <c r="J144" s="23"/>
    </row>
    <row r="145" spans="1:12" s="34" customFormat="1" ht="15" customHeight="1" x14ac:dyDescent="0.4">
      <c r="A145" s="35" t="s">
        <v>95</v>
      </c>
      <c r="B145" s="36"/>
      <c r="C145" s="36"/>
      <c r="D145" s="35"/>
      <c r="E145" s="35"/>
      <c r="F145" s="35"/>
      <c r="G145" s="35"/>
      <c r="H145" s="35"/>
      <c r="I145" s="35"/>
      <c r="J145" s="35"/>
      <c r="K145" s="39"/>
    </row>
    <row r="146" spans="1:12" s="39" customFormat="1" ht="15" customHeight="1" x14ac:dyDescent="0.4">
      <c r="A146" s="37" t="str">
        <f>TEXT(WORKDAY(DATE($B$1,1,1)-1,1,IF('Holiday (Dates to Exclude)'!$D:$D=VLOOKUP($F146,'Holiday (Dates to Exclude)'!$A:$B,2,0),'Holiday (Dates to Exclude)'!$E:$E,)),"MM/DD/YY")</f>
        <v>01/01/19</v>
      </c>
      <c r="B146" s="64" t="str">
        <f t="shared" ref="B146:B157" si="53">TEXT($A146,"DDD")</f>
        <v>Tue</v>
      </c>
      <c r="C146" s="64" t="str">
        <f t="shared" ref="C146:C157" si="54">TEXT(A146,"MMM YYYY")</f>
        <v>Jan 2019</v>
      </c>
      <c r="D146" s="23" t="s">
        <v>173</v>
      </c>
      <c r="E146" s="67" t="s">
        <v>44</v>
      </c>
      <c r="F146" s="23" t="s">
        <v>158</v>
      </c>
      <c r="G146" s="64" t="str">
        <f>TEXT(EDATE($A146,-1),"MMM")</f>
        <v>Dec</v>
      </c>
      <c r="H146" s="64" t="str">
        <f>TEXT(EOMONTH($A146,-1),"MM")</f>
        <v>12</v>
      </c>
      <c r="I146" s="64">
        <f t="shared" ref="I146:I157" si="55">YEAR(A146)</f>
        <v>2019</v>
      </c>
      <c r="J146" s="23" t="s">
        <v>52</v>
      </c>
      <c r="K146" s="39" t="s">
        <v>82</v>
      </c>
      <c r="L146" s="34" t="s">
        <v>94</v>
      </c>
    </row>
    <row r="147" spans="1:12" s="39" customFormat="1" ht="15" customHeight="1" x14ac:dyDescent="0.4">
      <c r="A147" s="37" t="str">
        <f t="array" ref="A147">TEXT(WORKDAY(DATE($B$1,2,1)-1,1,IF('Holiday (Dates to Exclude)'!$D:$D=VLOOKUP($F147,'Holiday (Dates to Exclude)'!$A:$B,2,0),'Holiday (Dates to Exclude)'!$E:$E,)),"MM/DD/YY")</f>
        <v>02/01/19</v>
      </c>
      <c r="B147" s="64" t="str">
        <f t="shared" si="53"/>
        <v>Fri</v>
      </c>
      <c r="C147" s="64" t="str">
        <f t="shared" si="54"/>
        <v>Feb 2019</v>
      </c>
      <c r="D147" s="23" t="s">
        <v>173</v>
      </c>
      <c r="E147" s="67" t="s">
        <v>44</v>
      </c>
      <c r="F147" s="23" t="s">
        <v>158</v>
      </c>
      <c r="G147" s="64" t="str">
        <f t="shared" ref="G147:G157" si="56">TEXT(EDATE($A147,-1),"MMM")</f>
        <v>Jan</v>
      </c>
      <c r="H147" s="64" t="str">
        <f t="shared" ref="H147:H157" si="57">TEXT(EOMONTH($A147,-1),"MM")</f>
        <v>01</v>
      </c>
      <c r="I147" s="64">
        <f t="shared" si="55"/>
        <v>2019</v>
      </c>
      <c r="J147" s="23" t="s">
        <v>52</v>
      </c>
      <c r="K147" s="39" t="s">
        <v>82</v>
      </c>
    </row>
    <row r="148" spans="1:12" s="39" customFormat="1" ht="15" customHeight="1" x14ac:dyDescent="0.4">
      <c r="A148" s="37" t="str">
        <f t="array" ref="A148">TEXT(WORKDAY(DATE($B$1,3,1)-1,1,IF('Holiday (Dates to Exclude)'!$D:$D=VLOOKUP($F148,'Holiday (Dates to Exclude)'!$A:$B,2,0),'Holiday (Dates to Exclude)'!$E:$E,)),"MM/DD/YY")</f>
        <v>03/01/19</v>
      </c>
      <c r="B148" s="64" t="str">
        <f t="shared" si="53"/>
        <v>Fri</v>
      </c>
      <c r="C148" s="64" t="str">
        <f t="shared" si="54"/>
        <v>Mar 2019</v>
      </c>
      <c r="D148" s="23" t="s">
        <v>173</v>
      </c>
      <c r="E148" s="67" t="s">
        <v>44</v>
      </c>
      <c r="F148" s="23" t="s">
        <v>158</v>
      </c>
      <c r="G148" s="64" t="str">
        <f t="shared" si="56"/>
        <v>Feb</v>
      </c>
      <c r="H148" s="64" t="str">
        <f t="shared" si="57"/>
        <v>02</v>
      </c>
      <c r="I148" s="64">
        <f t="shared" si="55"/>
        <v>2019</v>
      </c>
      <c r="J148" s="23" t="s">
        <v>52</v>
      </c>
      <c r="K148" s="39" t="s">
        <v>82</v>
      </c>
    </row>
    <row r="149" spans="1:12" s="39" customFormat="1" ht="15" customHeight="1" x14ac:dyDescent="0.4">
      <c r="A149" s="37" t="str">
        <f t="array" ref="A149">TEXT(WORKDAY(DATE($B$1,4,1)-1,1,IF('Holiday (Dates to Exclude)'!$D:$D=VLOOKUP($F149,'Holiday (Dates to Exclude)'!$A:$B,2,0),'Holiday (Dates to Exclude)'!$E:$E,)),"MM/DD/YY")</f>
        <v>04/01/19</v>
      </c>
      <c r="B149" s="64" t="str">
        <f t="shared" si="53"/>
        <v>Mon</v>
      </c>
      <c r="C149" s="64" t="str">
        <f t="shared" si="54"/>
        <v>Apr 2019</v>
      </c>
      <c r="D149" s="23" t="s">
        <v>173</v>
      </c>
      <c r="E149" s="67" t="s">
        <v>44</v>
      </c>
      <c r="F149" s="23" t="s">
        <v>158</v>
      </c>
      <c r="G149" s="64" t="str">
        <f t="shared" si="56"/>
        <v>Mar</v>
      </c>
      <c r="H149" s="64" t="str">
        <f t="shared" si="57"/>
        <v>03</v>
      </c>
      <c r="I149" s="64">
        <f t="shared" si="55"/>
        <v>2019</v>
      </c>
      <c r="J149" s="23" t="s">
        <v>52</v>
      </c>
      <c r="K149" s="39" t="s">
        <v>82</v>
      </c>
    </row>
    <row r="150" spans="1:12" s="39" customFormat="1" ht="15" customHeight="1" x14ac:dyDescent="0.4">
      <c r="A150" s="37" t="str">
        <f t="array" ref="A150">TEXT(WORKDAY(DATE($B$1,5,1)-1,1,IF('Holiday (Dates to Exclude)'!$D:$D=VLOOKUP($F150,'Holiday (Dates to Exclude)'!$A:$B,2,0),'Holiday (Dates to Exclude)'!$E:$E,)),"MM/DD/YY")</f>
        <v>05/01/19</v>
      </c>
      <c r="B150" s="64" t="str">
        <f t="shared" si="53"/>
        <v>Wed</v>
      </c>
      <c r="C150" s="64" t="str">
        <f t="shared" si="54"/>
        <v>May 2019</v>
      </c>
      <c r="D150" s="23" t="s">
        <v>173</v>
      </c>
      <c r="E150" s="67" t="s">
        <v>44</v>
      </c>
      <c r="F150" s="23" t="s">
        <v>158</v>
      </c>
      <c r="G150" s="64" t="str">
        <f t="shared" si="56"/>
        <v>Apr</v>
      </c>
      <c r="H150" s="64" t="str">
        <f t="shared" si="57"/>
        <v>04</v>
      </c>
      <c r="I150" s="64">
        <f t="shared" si="55"/>
        <v>2019</v>
      </c>
      <c r="J150" s="23" t="s">
        <v>52</v>
      </c>
      <c r="K150" s="39" t="s">
        <v>82</v>
      </c>
    </row>
    <row r="151" spans="1:12" s="39" customFormat="1" ht="15" customHeight="1" x14ac:dyDescent="0.4">
      <c r="A151" s="37" t="str">
        <f t="array" ref="A151">TEXT(WORKDAY(DATE($B$1,6,1)-1,1,IF('Holiday (Dates to Exclude)'!$D:$D=VLOOKUP($F151,'Holiday (Dates to Exclude)'!$A:$B,2,0),'Holiday (Dates to Exclude)'!$E:$E,)),"MM/DD/YY")</f>
        <v>06/03/19</v>
      </c>
      <c r="B151" s="64" t="str">
        <f t="shared" si="53"/>
        <v>Mon</v>
      </c>
      <c r="C151" s="64" t="str">
        <f t="shared" si="54"/>
        <v>Jun 2019</v>
      </c>
      <c r="D151" s="23" t="s">
        <v>173</v>
      </c>
      <c r="E151" s="67" t="s">
        <v>44</v>
      </c>
      <c r="F151" s="23" t="s">
        <v>158</v>
      </c>
      <c r="G151" s="64" t="str">
        <f t="shared" si="56"/>
        <v>May</v>
      </c>
      <c r="H151" s="64" t="str">
        <f t="shared" si="57"/>
        <v>05</v>
      </c>
      <c r="I151" s="64">
        <f t="shared" si="55"/>
        <v>2019</v>
      </c>
      <c r="J151" s="23" t="s">
        <v>52</v>
      </c>
      <c r="K151" s="39" t="s">
        <v>82</v>
      </c>
    </row>
    <row r="152" spans="1:12" s="39" customFormat="1" ht="15" customHeight="1" x14ac:dyDescent="0.4">
      <c r="A152" s="37" t="str">
        <f t="array" ref="A152">TEXT(WORKDAY(DATE($B$1,7,1)-1,1,IF('Holiday (Dates to Exclude)'!$D:$D=VLOOKUP($F152,'Holiday (Dates to Exclude)'!$A:$B,2,0),'Holiday (Dates to Exclude)'!$E:$E,)),"MM/DD/YY")</f>
        <v>07/01/19</v>
      </c>
      <c r="B152" s="64" t="str">
        <f t="shared" si="53"/>
        <v>Mon</v>
      </c>
      <c r="C152" s="64" t="str">
        <f t="shared" si="54"/>
        <v>Jul 2019</v>
      </c>
      <c r="D152" s="23" t="s">
        <v>173</v>
      </c>
      <c r="E152" s="67" t="s">
        <v>44</v>
      </c>
      <c r="F152" s="23" t="s">
        <v>158</v>
      </c>
      <c r="G152" s="64" t="str">
        <f t="shared" si="56"/>
        <v>Jun</v>
      </c>
      <c r="H152" s="64" t="str">
        <f t="shared" si="57"/>
        <v>06</v>
      </c>
      <c r="I152" s="64">
        <f t="shared" si="55"/>
        <v>2019</v>
      </c>
      <c r="J152" s="23" t="s">
        <v>52</v>
      </c>
      <c r="K152" s="39" t="s">
        <v>82</v>
      </c>
      <c r="L152" s="34"/>
    </row>
    <row r="153" spans="1:12" s="39" customFormat="1" ht="15" customHeight="1" x14ac:dyDescent="0.4">
      <c r="A153" s="37" t="str">
        <f t="array" ref="A153">TEXT(WORKDAY(DATE($B$1,8,1)-1,1,IF('Holiday (Dates to Exclude)'!$D:$D=VLOOKUP($F153,'Holiday (Dates to Exclude)'!$A:$B,2,0),'Holiday (Dates to Exclude)'!$E:$E,)),"MM/DD/YY")</f>
        <v>08/01/19</v>
      </c>
      <c r="B153" s="64" t="str">
        <f t="shared" si="53"/>
        <v>Thu</v>
      </c>
      <c r="C153" s="64" t="str">
        <f t="shared" si="54"/>
        <v>Aug 2019</v>
      </c>
      <c r="D153" s="23" t="s">
        <v>173</v>
      </c>
      <c r="E153" s="67" t="s">
        <v>44</v>
      </c>
      <c r="F153" s="23" t="s">
        <v>158</v>
      </c>
      <c r="G153" s="64" t="str">
        <f t="shared" si="56"/>
        <v>Jul</v>
      </c>
      <c r="H153" s="64" t="str">
        <f t="shared" si="57"/>
        <v>07</v>
      </c>
      <c r="I153" s="64">
        <f t="shared" si="55"/>
        <v>2019</v>
      </c>
      <c r="J153" s="23" t="s">
        <v>52</v>
      </c>
      <c r="K153" s="39" t="s">
        <v>82</v>
      </c>
    </row>
    <row r="154" spans="1:12" s="39" customFormat="1" ht="15" customHeight="1" x14ac:dyDescent="0.4">
      <c r="A154" s="37" t="str">
        <f t="array" ref="A154">TEXT(WORKDAY(DATE($B$1,9,1)-1,1,IF('Holiday (Dates to Exclude)'!$D:$D=VLOOKUP($F154,'Holiday (Dates to Exclude)'!$A:$B,2,0),'Holiday (Dates to Exclude)'!$E:$E,)),"MM/DD/YY")</f>
        <v>09/02/19</v>
      </c>
      <c r="B154" s="64" t="str">
        <f t="shared" si="53"/>
        <v>Mon</v>
      </c>
      <c r="C154" s="64" t="str">
        <f t="shared" si="54"/>
        <v>Sep 2019</v>
      </c>
      <c r="D154" s="23" t="s">
        <v>173</v>
      </c>
      <c r="E154" s="67" t="s">
        <v>44</v>
      </c>
      <c r="F154" s="23" t="s">
        <v>158</v>
      </c>
      <c r="G154" s="64" t="str">
        <f t="shared" si="56"/>
        <v>Aug</v>
      </c>
      <c r="H154" s="64" t="str">
        <f t="shared" si="57"/>
        <v>08</v>
      </c>
      <c r="I154" s="64">
        <f t="shared" si="55"/>
        <v>2019</v>
      </c>
      <c r="J154" s="23" t="s">
        <v>52</v>
      </c>
      <c r="K154" s="39" t="s">
        <v>82</v>
      </c>
    </row>
    <row r="155" spans="1:12" s="39" customFormat="1" ht="15" customHeight="1" x14ac:dyDescent="0.4">
      <c r="A155" s="37" t="str">
        <f t="array" ref="A155">TEXT(WORKDAY(DATE($B$1,10,1)-1,1,IF('Holiday (Dates to Exclude)'!$D:$D=VLOOKUP($F155,'Holiday (Dates to Exclude)'!$A:$B,2,0),'Holiday (Dates to Exclude)'!$E:$E,)),"MM/DD/YY")</f>
        <v>10/01/19</v>
      </c>
      <c r="B155" s="64" t="str">
        <f t="shared" si="53"/>
        <v>Tue</v>
      </c>
      <c r="C155" s="64" t="str">
        <f t="shared" si="54"/>
        <v>Oct 2019</v>
      </c>
      <c r="D155" s="23" t="s">
        <v>173</v>
      </c>
      <c r="E155" s="67" t="s">
        <v>44</v>
      </c>
      <c r="F155" s="23" t="s">
        <v>158</v>
      </c>
      <c r="G155" s="64" t="str">
        <f t="shared" si="56"/>
        <v>Sep</v>
      </c>
      <c r="H155" s="64" t="str">
        <f t="shared" si="57"/>
        <v>09</v>
      </c>
      <c r="I155" s="64">
        <f t="shared" si="55"/>
        <v>2019</v>
      </c>
      <c r="J155" s="23" t="s">
        <v>52</v>
      </c>
      <c r="K155" s="39" t="s">
        <v>82</v>
      </c>
      <c r="L155" s="39" t="s">
        <v>104</v>
      </c>
    </row>
    <row r="156" spans="1:12" s="39" customFormat="1" ht="15" customHeight="1" x14ac:dyDescent="0.4">
      <c r="A156" s="37" t="str">
        <f t="array" ref="A156">TEXT(WORKDAY(DATE($B$1,11,1)-1,1,IF('Holiday (Dates to Exclude)'!$D:$D=VLOOKUP($F156,'Holiday (Dates to Exclude)'!$A:$B,2,0),'Holiday (Dates to Exclude)'!$E:$E,)),"MM/DD/YY")</f>
        <v>11/01/19</v>
      </c>
      <c r="B156" s="64" t="str">
        <f t="shared" si="53"/>
        <v>Fri</v>
      </c>
      <c r="C156" s="64" t="str">
        <f t="shared" si="54"/>
        <v>Nov 2019</v>
      </c>
      <c r="D156" s="23" t="s">
        <v>173</v>
      </c>
      <c r="E156" s="67" t="s">
        <v>44</v>
      </c>
      <c r="F156" s="23" t="s">
        <v>158</v>
      </c>
      <c r="G156" s="64" t="str">
        <f t="shared" si="56"/>
        <v>Oct</v>
      </c>
      <c r="H156" s="64" t="str">
        <f t="shared" si="57"/>
        <v>10</v>
      </c>
      <c r="I156" s="64">
        <f t="shared" si="55"/>
        <v>2019</v>
      </c>
      <c r="J156" s="23" t="s">
        <v>52</v>
      </c>
      <c r="K156" s="39" t="s">
        <v>82</v>
      </c>
      <c r="L156" s="39" t="s">
        <v>104</v>
      </c>
    </row>
    <row r="157" spans="1:12" s="39" customFormat="1" ht="15" customHeight="1" x14ac:dyDescent="0.4">
      <c r="A157" s="37" t="str">
        <f t="array" ref="A157">TEXT(WORKDAY(DATE($B$1,12,1)-1,1,IF('Holiday (Dates to Exclude)'!$D:$D=VLOOKUP($F157,'Holiday (Dates to Exclude)'!$A:$B,2,0),'Holiday (Dates to Exclude)'!$E:$E,)),"MM/DD/YY")</f>
        <v>12/02/19</v>
      </c>
      <c r="B157" s="64" t="str">
        <f t="shared" si="53"/>
        <v>Mon</v>
      </c>
      <c r="C157" s="64" t="str">
        <f t="shared" si="54"/>
        <v>Dec 2019</v>
      </c>
      <c r="D157" s="23" t="s">
        <v>173</v>
      </c>
      <c r="E157" s="67" t="s">
        <v>44</v>
      </c>
      <c r="F157" s="23" t="s">
        <v>158</v>
      </c>
      <c r="G157" s="64" t="str">
        <f t="shared" si="56"/>
        <v>Nov</v>
      </c>
      <c r="H157" s="64" t="str">
        <f t="shared" si="57"/>
        <v>11</v>
      </c>
      <c r="I157" s="64">
        <f t="shared" si="55"/>
        <v>2019</v>
      </c>
      <c r="J157" s="23" t="s">
        <v>52</v>
      </c>
      <c r="K157" s="39" t="s">
        <v>82</v>
      </c>
    </row>
    <row r="158" spans="1:12" s="39" customFormat="1" ht="15" customHeight="1" x14ac:dyDescent="0.4">
      <c r="A158" s="37"/>
      <c r="B158" s="64"/>
      <c r="C158" s="64"/>
      <c r="D158" s="23"/>
      <c r="E158" s="23"/>
      <c r="F158" s="23"/>
      <c r="G158" s="64"/>
      <c r="H158" s="64"/>
      <c r="I158" s="64"/>
      <c r="J158" s="23"/>
    </row>
    <row r="159" spans="1:12" s="34" customFormat="1" ht="15" customHeight="1" x14ac:dyDescent="0.4">
      <c r="A159" s="35" t="s">
        <v>105</v>
      </c>
      <c r="B159" s="36"/>
      <c r="C159" s="36"/>
      <c r="D159" s="35"/>
      <c r="E159" s="35"/>
      <c r="F159" s="35"/>
      <c r="G159" s="35"/>
      <c r="H159" s="35"/>
      <c r="I159" s="35"/>
      <c r="J159" s="35"/>
      <c r="K159" s="39"/>
    </row>
    <row r="160" spans="1:12" s="23" customFormat="1" ht="15" customHeight="1" x14ac:dyDescent="0.4">
      <c r="A160" s="62" t="str">
        <f>TEXT(WORKDAY(CEILING(EOMONTH(DATE($B$1,1,1),-1),7)+3-1,1,IF('Holiday (Dates to Exclude)'!$D:$D=VLOOKUP($F160,'Holiday (Dates to Exclude)'!$A:$B,2,0),'Holiday (Dates to Exclude)'!$E:$E,)),"MM/DD/YY")</f>
        <v>01/08/19</v>
      </c>
      <c r="B160" s="63" t="str">
        <f>TEXT(A160,"ddd")</f>
        <v>Tue</v>
      </c>
      <c r="C160" s="64" t="str">
        <f>TEXT($A160,"MMM YYYY")</f>
        <v>Jan 2019</v>
      </c>
      <c r="D160" s="23" t="s">
        <v>170</v>
      </c>
      <c r="E160" s="23" t="s">
        <v>44</v>
      </c>
      <c r="F160" s="23" t="s">
        <v>153</v>
      </c>
      <c r="G160" s="64" t="str">
        <f>TEXT(EDATE($A160,-2),"MMM")</f>
        <v>Nov</v>
      </c>
      <c r="H160" s="64" t="str">
        <f>TEXT(EOMONTH($A160,-2),"MM")</f>
        <v>11</v>
      </c>
      <c r="I160" s="64">
        <f>YEAR(A160)</f>
        <v>2019</v>
      </c>
      <c r="J160" s="68" t="s">
        <v>36</v>
      </c>
      <c r="K160" s="39" t="s">
        <v>82</v>
      </c>
    </row>
    <row r="161" spans="1:12" s="64" customFormat="1" ht="15" customHeight="1" x14ac:dyDescent="0.4">
      <c r="A161" s="64" t="str">
        <f>TEXT(WORKDAY(CEILING(EOMONTH(DATE($B$1,2,1),-1),7)+3-1,1,IF('Holiday (Dates to Exclude)'!$D:$D=VLOOKUP($F161,'Holiday (Dates to Exclude)'!$A:$B,2,0),'Holiday (Dates to Exclude)'!$E:$E,)),"MM/DD/YY")</f>
        <v>02/05/19</v>
      </c>
      <c r="B161" s="64" t="str">
        <f>TEXT($A161,"DDD")</f>
        <v>Tue</v>
      </c>
      <c r="C161" s="64" t="str">
        <f>TEXT($A161,"MMM YYYY")</f>
        <v>Feb 2019</v>
      </c>
      <c r="D161" s="23" t="s">
        <v>170</v>
      </c>
      <c r="E161" s="23" t="s">
        <v>44</v>
      </c>
      <c r="F161" s="23" t="s">
        <v>153</v>
      </c>
      <c r="G161" s="64" t="str">
        <f t="shared" ref="G161:G171" si="58">TEXT(EDATE($A161,-2),"MMM")</f>
        <v>Dec</v>
      </c>
      <c r="H161" s="64" t="str">
        <f t="shared" ref="H161:H171" si="59">TEXT(EOMONTH($A161,-2),"MM")</f>
        <v>12</v>
      </c>
      <c r="I161" s="64">
        <f>YEAR(A161)</f>
        <v>2019</v>
      </c>
      <c r="J161" s="68" t="s">
        <v>36</v>
      </c>
      <c r="K161" s="39" t="s">
        <v>82</v>
      </c>
    </row>
    <row r="162" spans="1:12" s="64" customFormat="1" ht="15" customHeight="1" x14ac:dyDescent="0.4">
      <c r="A162" s="64" t="str">
        <f>TEXT(WORKDAY(CEILING(EOMONTH(DATE($B$1,3,1),-1),7)+3-1,1,IF('Holiday (Dates to Exclude)'!$D:$D=VLOOKUP($F162,'Holiday (Dates to Exclude)'!$A:$B,2,0),'Holiday (Dates to Exclude)'!$E:$E,)),"MM/DD/YY")</f>
        <v>03/05/19</v>
      </c>
      <c r="B162" s="64" t="str">
        <f t="shared" ref="B162:B171" si="60">TEXT($A162,"DDD")</f>
        <v>Tue</v>
      </c>
      <c r="C162" s="64" t="str">
        <f t="shared" ref="C162:C171" si="61">TEXT(A162,"MMM YYYY")</f>
        <v>Mar 2019</v>
      </c>
      <c r="D162" s="23" t="s">
        <v>170</v>
      </c>
      <c r="E162" s="23" t="s">
        <v>44</v>
      </c>
      <c r="F162" s="23" t="s">
        <v>153</v>
      </c>
      <c r="G162" s="64" t="str">
        <f t="shared" si="58"/>
        <v>Jan</v>
      </c>
      <c r="H162" s="64" t="str">
        <f t="shared" si="59"/>
        <v>01</v>
      </c>
      <c r="I162" s="64">
        <f t="shared" ref="I162:I171" si="62">YEAR(A162)</f>
        <v>2019</v>
      </c>
      <c r="J162" s="68" t="s">
        <v>36</v>
      </c>
      <c r="K162" s="39" t="s">
        <v>82</v>
      </c>
    </row>
    <row r="163" spans="1:12" s="64" customFormat="1" ht="15" customHeight="1" x14ac:dyDescent="0.4">
      <c r="A163" s="64" t="str">
        <f>TEXT(WORKDAY(CEILING(EOMONTH(DATE($B$1,4,1),-1),7)+3-1,1,IF('Holiday (Dates to Exclude)'!$D:$D=VLOOKUP($F163,'Holiday (Dates to Exclude)'!$A:$B,2,0),'Holiday (Dates to Exclude)'!$E:$E,)),"MM/DD/YY")</f>
        <v>04/09/19</v>
      </c>
      <c r="B163" s="64" t="str">
        <f t="shared" si="60"/>
        <v>Tue</v>
      </c>
      <c r="C163" s="64" t="str">
        <f t="shared" si="61"/>
        <v>Apr 2019</v>
      </c>
      <c r="D163" s="23" t="s">
        <v>170</v>
      </c>
      <c r="E163" s="23" t="s">
        <v>44</v>
      </c>
      <c r="F163" s="23" t="s">
        <v>153</v>
      </c>
      <c r="G163" s="64" t="str">
        <f t="shared" si="58"/>
        <v>Feb</v>
      </c>
      <c r="H163" s="64" t="str">
        <f t="shared" si="59"/>
        <v>02</v>
      </c>
      <c r="I163" s="64">
        <f t="shared" si="62"/>
        <v>2019</v>
      </c>
      <c r="J163" s="68" t="s">
        <v>36</v>
      </c>
      <c r="K163" s="39" t="s">
        <v>82</v>
      </c>
    </row>
    <row r="164" spans="1:12" s="64" customFormat="1" ht="15" customHeight="1" x14ac:dyDescent="0.4">
      <c r="A164" s="64" t="str">
        <f>TEXT(WORKDAY(CEILING(EOMONTH(DATE($B$1,5,1),-1),7)+3-1,1,IF('Holiday (Dates to Exclude)'!$D:$D=VLOOKUP($F164,'Holiday (Dates to Exclude)'!$A:$B,2,0),'Holiday (Dates to Exclude)'!$E:$E,)),"MM/DD/YY")</f>
        <v>05/07/19</v>
      </c>
      <c r="B164" s="64" t="str">
        <f t="shared" si="60"/>
        <v>Tue</v>
      </c>
      <c r="C164" s="64" t="str">
        <f t="shared" si="61"/>
        <v>May 2019</v>
      </c>
      <c r="D164" s="23" t="s">
        <v>170</v>
      </c>
      <c r="E164" s="23" t="s">
        <v>44</v>
      </c>
      <c r="F164" s="23" t="s">
        <v>153</v>
      </c>
      <c r="G164" s="64" t="str">
        <f t="shared" si="58"/>
        <v>Mar</v>
      </c>
      <c r="H164" s="64" t="str">
        <f t="shared" si="59"/>
        <v>03</v>
      </c>
      <c r="I164" s="64">
        <f t="shared" si="62"/>
        <v>2019</v>
      </c>
      <c r="J164" s="68" t="s">
        <v>36</v>
      </c>
      <c r="K164" s="39" t="s">
        <v>82</v>
      </c>
    </row>
    <row r="165" spans="1:12" s="64" customFormat="1" ht="15" customHeight="1" x14ac:dyDescent="0.4">
      <c r="A165" s="64" t="str">
        <f>TEXT(WORKDAY(CEILING(EOMONTH(DATE($B$1,6,1),-1),7)+3-1,1,IF('Holiday (Dates to Exclude)'!$D:$D=VLOOKUP($F165,'Holiday (Dates to Exclude)'!$A:$B,2,0),'Holiday (Dates to Exclude)'!$E:$E,)),"MM/DD/YY")</f>
        <v>06/04/19</v>
      </c>
      <c r="B165" s="64" t="str">
        <f t="shared" si="60"/>
        <v>Tue</v>
      </c>
      <c r="C165" s="64" t="str">
        <f t="shared" si="61"/>
        <v>Jun 2019</v>
      </c>
      <c r="D165" s="23" t="s">
        <v>170</v>
      </c>
      <c r="E165" s="23" t="s">
        <v>44</v>
      </c>
      <c r="F165" s="23" t="s">
        <v>153</v>
      </c>
      <c r="G165" s="64" t="str">
        <f t="shared" si="58"/>
        <v>Apr</v>
      </c>
      <c r="H165" s="64" t="str">
        <f t="shared" si="59"/>
        <v>04</v>
      </c>
      <c r="I165" s="64">
        <f t="shared" si="62"/>
        <v>2019</v>
      </c>
      <c r="J165" s="68" t="s">
        <v>36</v>
      </c>
      <c r="K165" s="39" t="s">
        <v>82</v>
      </c>
    </row>
    <row r="166" spans="1:12" s="64" customFormat="1" ht="15" customHeight="1" x14ac:dyDescent="0.4">
      <c r="A166" s="64" t="str">
        <f>TEXT(WORKDAY(CEILING(EOMONTH(DATE($B$1,7,1),-1),7)+3-1,1,IF('Holiday (Dates to Exclude)'!$D:$D=VLOOKUP($F166,'Holiday (Dates to Exclude)'!$A:$B,2,0),'Holiday (Dates to Exclude)'!$E:$E,)),"MM/DD/YY")</f>
        <v>07/09/19</v>
      </c>
      <c r="B166" s="64" t="str">
        <f t="shared" si="60"/>
        <v>Tue</v>
      </c>
      <c r="C166" s="64" t="str">
        <f t="shared" si="61"/>
        <v>Jul 2019</v>
      </c>
      <c r="D166" s="23" t="s">
        <v>170</v>
      </c>
      <c r="E166" s="23" t="s">
        <v>44</v>
      </c>
      <c r="F166" s="23" t="s">
        <v>153</v>
      </c>
      <c r="G166" s="64" t="str">
        <f t="shared" si="58"/>
        <v>May</v>
      </c>
      <c r="H166" s="64" t="str">
        <f t="shared" si="59"/>
        <v>05</v>
      </c>
      <c r="I166" s="64">
        <f t="shared" si="62"/>
        <v>2019</v>
      </c>
      <c r="J166" s="68" t="s">
        <v>36</v>
      </c>
      <c r="K166" s="39" t="s">
        <v>82</v>
      </c>
    </row>
    <row r="167" spans="1:12" s="64" customFormat="1" ht="15" customHeight="1" x14ac:dyDescent="0.4">
      <c r="A167" s="64" t="str">
        <f>TEXT(WORKDAY(CEILING(EOMONTH(DATE($B$1,8,1),-1),7)+3-1,1,IF('Holiday (Dates to Exclude)'!$D:$D=VLOOKUP($F167,'Holiday (Dates to Exclude)'!$A:$B,2,0),'Holiday (Dates to Exclude)'!$E:$E,)),"MM/DD/YY")</f>
        <v>08/06/19</v>
      </c>
      <c r="B167" s="64" t="str">
        <f t="shared" si="60"/>
        <v>Tue</v>
      </c>
      <c r="C167" s="64" t="str">
        <f t="shared" si="61"/>
        <v>Aug 2019</v>
      </c>
      <c r="D167" s="23" t="s">
        <v>170</v>
      </c>
      <c r="E167" s="23" t="s">
        <v>44</v>
      </c>
      <c r="F167" s="23" t="s">
        <v>153</v>
      </c>
      <c r="G167" s="64" t="str">
        <f t="shared" si="58"/>
        <v>Jun</v>
      </c>
      <c r="H167" s="64" t="str">
        <f t="shared" si="59"/>
        <v>06</v>
      </c>
      <c r="I167" s="64">
        <f t="shared" si="62"/>
        <v>2019</v>
      </c>
      <c r="J167" s="68" t="s">
        <v>36</v>
      </c>
      <c r="K167" s="39" t="s">
        <v>82</v>
      </c>
    </row>
    <row r="168" spans="1:12" s="64" customFormat="1" ht="15" customHeight="1" x14ac:dyDescent="0.4">
      <c r="A168" s="64" t="str">
        <f>TEXT(WORKDAY(CEILING(EOMONTH(DATE($B$1,9,1),-1),7)+3-1,1,IF('Holiday (Dates to Exclude)'!$D:$D=VLOOKUP($F168,'Holiday (Dates to Exclude)'!$A:$B,2,0),'Holiday (Dates to Exclude)'!$E:$E,)),"MM/DD/YY")</f>
        <v>09/03/19</v>
      </c>
      <c r="B168" s="64" t="str">
        <f t="shared" si="60"/>
        <v>Tue</v>
      </c>
      <c r="C168" s="64" t="str">
        <f t="shared" si="61"/>
        <v>Sep 2019</v>
      </c>
      <c r="D168" s="23" t="s">
        <v>170</v>
      </c>
      <c r="E168" s="23" t="s">
        <v>44</v>
      </c>
      <c r="F168" s="23" t="s">
        <v>153</v>
      </c>
      <c r="G168" s="64" t="str">
        <f t="shared" si="58"/>
        <v>Jul</v>
      </c>
      <c r="H168" s="64" t="str">
        <f t="shared" si="59"/>
        <v>07</v>
      </c>
      <c r="I168" s="64">
        <f t="shared" si="62"/>
        <v>2019</v>
      </c>
      <c r="J168" s="68" t="s">
        <v>36</v>
      </c>
      <c r="K168" s="39" t="s">
        <v>82</v>
      </c>
    </row>
    <row r="169" spans="1:12" s="64" customFormat="1" ht="15" customHeight="1" x14ac:dyDescent="0.4">
      <c r="A169" s="64" t="str">
        <f>TEXT(WORKDAY(CEILING(EOMONTH(DATE($B$1,10,1),-1),7)+3-1,1,IF('Holiday (Dates to Exclude)'!$D:$D=VLOOKUP($F169,'Holiday (Dates to Exclude)'!$A:$B,2,0),'Holiday (Dates to Exclude)'!$E:$E,)),"MM/DD/YY")</f>
        <v>10/08/19</v>
      </c>
      <c r="B169" s="64" t="str">
        <f t="shared" si="60"/>
        <v>Tue</v>
      </c>
      <c r="C169" s="64" t="str">
        <f t="shared" si="61"/>
        <v>Oct 2019</v>
      </c>
      <c r="D169" s="23" t="s">
        <v>170</v>
      </c>
      <c r="E169" s="23" t="s">
        <v>44</v>
      </c>
      <c r="F169" s="23" t="s">
        <v>153</v>
      </c>
      <c r="G169" s="64" t="str">
        <f t="shared" si="58"/>
        <v>Aug</v>
      </c>
      <c r="H169" s="64" t="str">
        <f t="shared" si="59"/>
        <v>08</v>
      </c>
      <c r="I169" s="64">
        <f t="shared" si="62"/>
        <v>2019</v>
      </c>
      <c r="J169" s="68" t="s">
        <v>36</v>
      </c>
      <c r="K169" s="39" t="s">
        <v>82</v>
      </c>
    </row>
    <row r="170" spans="1:12" s="64" customFormat="1" ht="15" customHeight="1" x14ac:dyDescent="0.4">
      <c r="A170" s="64" t="str">
        <f>TEXT(WORKDAY(CEILING(EOMONTH(DATE($B$1,11,1),-1),7)+3-1,1,IF('Holiday (Dates to Exclude)'!$D:$D=VLOOKUP($F170,'Holiday (Dates to Exclude)'!$A:$B,2,0),'Holiday (Dates to Exclude)'!$E:$E,)),"MM/DD/YY")</f>
        <v>11/05/19</v>
      </c>
      <c r="B170" s="64" t="str">
        <f t="shared" si="60"/>
        <v>Tue</v>
      </c>
      <c r="C170" s="64" t="str">
        <f t="shared" si="61"/>
        <v>Nov 2019</v>
      </c>
      <c r="D170" s="23" t="s">
        <v>170</v>
      </c>
      <c r="E170" s="23" t="s">
        <v>44</v>
      </c>
      <c r="F170" s="23" t="s">
        <v>153</v>
      </c>
      <c r="G170" s="64" t="str">
        <f t="shared" si="58"/>
        <v>Sep</v>
      </c>
      <c r="H170" s="64" t="str">
        <f t="shared" si="59"/>
        <v>09</v>
      </c>
      <c r="I170" s="64">
        <f t="shared" si="62"/>
        <v>2019</v>
      </c>
      <c r="J170" s="68" t="s">
        <v>36</v>
      </c>
      <c r="K170" s="39" t="s">
        <v>82</v>
      </c>
    </row>
    <row r="171" spans="1:12" s="64" customFormat="1" ht="15" customHeight="1" x14ac:dyDescent="0.4">
      <c r="A171" s="64" t="str">
        <f>TEXT(WORKDAY(CEILING(EOMONTH(DATE($B$1,12,1),-1),7)+3-1,1,IF('Holiday (Dates to Exclude)'!$D:$D=VLOOKUP($F171,'Holiday (Dates to Exclude)'!$A:$B,2,0),'Holiday (Dates to Exclude)'!$E:$E,)),"MM/DD/YY")</f>
        <v>12/03/19</v>
      </c>
      <c r="B171" s="64" t="str">
        <f t="shared" si="60"/>
        <v>Tue</v>
      </c>
      <c r="C171" s="64" t="str">
        <f t="shared" si="61"/>
        <v>Dec 2019</v>
      </c>
      <c r="D171" s="23" t="s">
        <v>170</v>
      </c>
      <c r="E171" s="23" t="s">
        <v>44</v>
      </c>
      <c r="F171" s="23" t="s">
        <v>153</v>
      </c>
      <c r="G171" s="64" t="str">
        <f t="shared" si="58"/>
        <v>Oct</v>
      </c>
      <c r="H171" s="64" t="str">
        <f t="shared" si="59"/>
        <v>10</v>
      </c>
      <c r="I171" s="64">
        <f t="shared" si="62"/>
        <v>2019</v>
      </c>
      <c r="J171" s="68" t="s">
        <v>36</v>
      </c>
      <c r="K171" s="39" t="s">
        <v>82</v>
      </c>
    </row>
    <row r="172" spans="1:12" s="64" customFormat="1" ht="15" customHeight="1" x14ac:dyDescent="0.4">
      <c r="K172" s="39"/>
    </row>
    <row r="173" spans="1:12" s="34" customFormat="1" ht="15" customHeight="1" x14ac:dyDescent="0.4">
      <c r="A173" s="35" t="s">
        <v>179</v>
      </c>
      <c r="B173" s="36"/>
      <c r="C173" s="36"/>
      <c r="D173" s="35"/>
      <c r="E173" s="35"/>
      <c r="F173" s="35"/>
      <c r="G173" s="35"/>
      <c r="H173" s="35"/>
      <c r="I173" s="35"/>
      <c r="J173" s="35"/>
      <c r="K173" s="39"/>
    </row>
    <row r="174" spans="1:12" s="39" customFormat="1" ht="15" customHeight="1" x14ac:dyDescent="0.4">
      <c r="A174" s="37" t="str">
        <f t="array" ref="A174">TEXT(WORKDAY(DATE($B$1,1,20)-1,1,IF('Holiday (Dates to Exclude)'!$D:$D=VLOOKUP($F174,'Holiday (Dates to Exclude)'!$A:$B,2,0),'Holiday (Dates to Exclude)'!$E:$E,)),"MM/DD/YY")</f>
        <v>01/21/19</v>
      </c>
      <c r="B174" s="64" t="str">
        <f t="shared" ref="B174:B185" si="63">TEXT($A174,"DDD")</f>
        <v>Mon</v>
      </c>
      <c r="C174" s="64" t="str">
        <f t="shared" ref="C174:C185" si="64">TEXT(A174,"MMM YYYY")</f>
        <v>Jan 2019</v>
      </c>
      <c r="D174" s="23" t="s">
        <v>172</v>
      </c>
      <c r="E174" s="67" t="s">
        <v>44</v>
      </c>
      <c r="F174" s="69" t="s">
        <v>160</v>
      </c>
      <c r="G174" s="64" t="str">
        <f>TEXT(EDATE($A174,-2),"MMM")</f>
        <v>Nov</v>
      </c>
      <c r="H174" s="64" t="str">
        <f>TEXT(EOMONTH($A174,-2),"MM")</f>
        <v>11</v>
      </c>
      <c r="I174" s="64">
        <f t="shared" ref="I174:I185" si="65">YEAR(A174)</f>
        <v>2019</v>
      </c>
      <c r="J174" s="23" t="s">
        <v>49</v>
      </c>
      <c r="K174" s="39" t="s">
        <v>82</v>
      </c>
      <c r="L174" s="34"/>
    </row>
    <row r="175" spans="1:12" s="39" customFormat="1" ht="15" customHeight="1" x14ac:dyDescent="0.4">
      <c r="A175" s="37" t="str">
        <f t="array" ref="A175">TEXT(WORKDAY(DATE($B$1,2,20)-1,1,IF('Holiday (Dates to Exclude)'!$D:$D=VLOOKUP($F175,'Holiday (Dates to Exclude)'!$A:$B,2,0),'Holiday (Dates to Exclude)'!$E:$E,)),"MM/DD/YY")</f>
        <v>02/20/19</v>
      </c>
      <c r="B175" s="64" t="str">
        <f t="shared" si="63"/>
        <v>Wed</v>
      </c>
      <c r="C175" s="64" t="str">
        <f t="shared" si="64"/>
        <v>Feb 2019</v>
      </c>
      <c r="D175" s="23" t="s">
        <v>172</v>
      </c>
      <c r="E175" s="67" t="s">
        <v>44</v>
      </c>
      <c r="F175" s="69" t="s">
        <v>160</v>
      </c>
      <c r="G175" s="64" t="str">
        <f t="shared" ref="G175:G185" si="66">TEXT(EDATE($A175,-2),"MMM")</f>
        <v>Dec</v>
      </c>
      <c r="H175" s="64" t="str">
        <f t="shared" ref="H175:H185" si="67">TEXT(EOMONTH($A175,-2),"MM")</f>
        <v>12</v>
      </c>
      <c r="I175" s="64">
        <f t="shared" si="65"/>
        <v>2019</v>
      </c>
      <c r="J175" s="23" t="s">
        <v>49</v>
      </c>
      <c r="K175" s="39" t="s">
        <v>82</v>
      </c>
    </row>
    <row r="176" spans="1:12" s="39" customFormat="1" ht="15" customHeight="1" x14ac:dyDescent="0.4">
      <c r="A176" s="37" t="str">
        <f t="array" ref="A176">TEXT(WORKDAY(DATE($B$1,3,20)-1,1,IF('Holiday (Dates to Exclude)'!$D:$D=VLOOKUP($F176,'Holiday (Dates to Exclude)'!$A:$B,2,0),'Holiday (Dates to Exclude)'!$E:$E,)),"MM/DD/YY")</f>
        <v>03/20/19</v>
      </c>
      <c r="B176" s="64" t="str">
        <f t="shared" si="63"/>
        <v>Wed</v>
      </c>
      <c r="C176" s="64" t="str">
        <f t="shared" si="64"/>
        <v>Mar 2019</v>
      </c>
      <c r="D176" s="23" t="s">
        <v>172</v>
      </c>
      <c r="E176" s="67" t="s">
        <v>44</v>
      </c>
      <c r="F176" s="69" t="s">
        <v>160</v>
      </c>
      <c r="G176" s="64" t="str">
        <f t="shared" si="66"/>
        <v>Jan</v>
      </c>
      <c r="H176" s="64" t="str">
        <f t="shared" si="67"/>
        <v>01</v>
      </c>
      <c r="I176" s="64">
        <f t="shared" si="65"/>
        <v>2019</v>
      </c>
      <c r="J176" s="23" t="s">
        <v>49</v>
      </c>
      <c r="K176" s="39" t="s">
        <v>82</v>
      </c>
    </row>
    <row r="177" spans="1:12" s="39" customFormat="1" ht="15" customHeight="1" x14ac:dyDescent="0.4">
      <c r="A177" s="37" t="str">
        <f t="array" ref="A177">TEXT(WORKDAY(DATE($B$1,4,20)-1,1,IF('Holiday (Dates to Exclude)'!$D:$D=VLOOKUP($F177,'Holiday (Dates to Exclude)'!$A:$B,2,0),'Holiday (Dates to Exclude)'!$E:$E,)),"MM/DD/YY")</f>
        <v>04/22/19</v>
      </c>
      <c r="B177" s="64" t="str">
        <f t="shared" si="63"/>
        <v>Mon</v>
      </c>
      <c r="C177" s="64" t="str">
        <f t="shared" si="64"/>
        <v>Apr 2019</v>
      </c>
      <c r="D177" s="23" t="s">
        <v>172</v>
      </c>
      <c r="E177" s="67" t="s">
        <v>44</v>
      </c>
      <c r="F177" s="69" t="s">
        <v>160</v>
      </c>
      <c r="G177" s="64" t="str">
        <f t="shared" si="66"/>
        <v>Feb</v>
      </c>
      <c r="H177" s="64" t="str">
        <f t="shared" si="67"/>
        <v>02</v>
      </c>
      <c r="I177" s="64">
        <f t="shared" si="65"/>
        <v>2019</v>
      </c>
      <c r="J177" s="23" t="s">
        <v>49</v>
      </c>
      <c r="K177" s="39" t="s">
        <v>82</v>
      </c>
    </row>
    <row r="178" spans="1:12" s="39" customFormat="1" ht="15" customHeight="1" x14ac:dyDescent="0.4">
      <c r="A178" s="37" t="str">
        <f t="array" ref="A178">TEXT(WORKDAY(DATE($B$1,5,20)-1,1,IF('Holiday (Dates to Exclude)'!$D:$D=VLOOKUP($F178,'Holiday (Dates to Exclude)'!$A:$B,2,0),'Holiday (Dates to Exclude)'!$E:$E,)),"MM/DD/YY")</f>
        <v>05/20/19</v>
      </c>
      <c r="B178" s="64" t="str">
        <f t="shared" si="63"/>
        <v>Mon</v>
      </c>
      <c r="C178" s="64" t="str">
        <f t="shared" si="64"/>
        <v>May 2019</v>
      </c>
      <c r="D178" s="23" t="s">
        <v>172</v>
      </c>
      <c r="E178" s="67" t="s">
        <v>44</v>
      </c>
      <c r="F178" s="69" t="s">
        <v>160</v>
      </c>
      <c r="G178" s="64" t="str">
        <f t="shared" si="66"/>
        <v>Mar</v>
      </c>
      <c r="H178" s="64" t="str">
        <f t="shared" si="67"/>
        <v>03</v>
      </c>
      <c r="I178" s="64">
        <f t="shared" si="65"/>
        <v>2019</v>
      </c>
      <c r="J178" s="23" t="s">
        <v>49</v>
      </c>
      <c r="K178" s="39" t="s">
        <v>82</v>
      </c>
    </row>
    <row r="179" spans="1:12" s="39" customFormat="1" ht="15" customHeight="1" x14ac:dyDescent="0.4">
      <c r="A179" s="37" t="str">
        <f t="array" ref="A179">TEXT(WORKDAY(DATE($B$1,6,20)-1,1,IF('Holiday (Dates to Exclude)'!$D:$D=VLOOKUP($F179,'Holiday (Dates to Exclude)'!$A:$B,2,0),'Holiday (Dates to Exclude)'!$E:$E,)),"MM/DD/YY")</f>
        <v>06/20/19</v>
      </c>
      <c r="B179" s="64" t="str">
        <f t="shared" si="63"/>
        <v>Thu</v>
      </c>
      <c r="C179" s="64" t="str">
        <f t="shared" si="64"/>
        <v>Jun 2019</v>
      </c>
      <c r="D179" s="23" t="s">
        <v>172</v>
      </c>
      <c r="E179" s="67" t="s">
        <v>44</v>
      </c>
      <c r="F179" s="69" t="s">
        <v>160</v>
      </c>
      <c r="G179" s="64" t="str">
        <f t="shared" si="66"/>
        <v>Apr</v>
      </c>
      <c r="H179" s="64" t="str">
        <f t="shared" si="67"/>
        <v>04</v>
      </c>
      <c r="I179" s="64">
        <f t="shared" si="65"/>
        <v>2019</v>
      </c>
      <c r="J179" s="23" t="s">
        <v>49</v>
      </c>
      <c r="K179" s="39" t="s">
        <v>82</v>
      </c>
    </row>
    <row r="180" spans="1:12" s="39" customFormat="1" ht="15" customHeight="1" x14ac:dyDescent="0.4">
      <c r="A180" s="37" t="str">
        <f t="array" ref="A180">TEXT(WORKDAY(DATE($B$1,7,20)-1,1,IF('Holiday (Dates to Exclude)'!$D:$D=VLOOKUP($F180,'Holiday (Dates to Exclude)'!$A:$B,2,0),'Holiday (Dates to Exclude)'!$E:$E,)),"MM/DD/YY")</f>
        <v>07/22/19</v>
      </c>
      <c r="B180" s="64" t="str">
        <f t="shared" si="63"/>
        <v>Mon</v>
      </c>
      <c r="C180" s="64" t="str">
        <f t="shared" si="64"/>
        <v>Jul 2019</v>
      </c>
      <c r="D180" s="23" t="s">
        <v>172</v>
      </c>
      <c r="E180" s="67" t="s">
        <v>44</v>
      </c>
      <c r="F180" s="69" t="s">
        <v>160</v>
      </c>
      <c r="G180" s="64" t="str">
        <f t="shared" si="66"/>
        <v>May</v>
      </c>
      <c r="H180" s="64" t="str">
        <f t="shared" si="67"/>
        <v>05</v>
      </c>
      <c r="I180" s="64">
        <f t="shared" si="65"/>
        <v>2019</v>
      </c>
      <c r="J180" s="23" t="s">
        <v>49</v>
      </c>
      <c r="K180" s="39" t="s">
        <v>82</v>
      </c>
      <c r="L180" s="34"/>
    </row>
    <row r="181" spans="1:12" s="39" customFormat="1" ht="15" customHeight="1" x14ac:dyDescent="0.4">
      <c r="A181" s="37" t="str">
        <f t="array" ref="A181">TEXT(WORKDAY(DATE($B$1,8,20)-1,1,IF('Holiday (Dates to Exclude)'!$D:$D=VLOOKUP($F181,'Holiday (Dates to Exclude)'!$A:$B,2,0),'Holiday (Dates to Exclude)'!$E:$E,)),"MM/DD/YY")</f>
        <v>08/20/19</v>
      </c>
      <c r="B181" s="64" t="str">
        <f t="shared" si="63"/>
        <v>Tue</v>
      </c>
      <c r="C181" s="64" t="str">
        <f t="shared" si="64"/>
        <v>Aug 2019</v>
      </c>
      <c r="D181" s="23" t="s">
        <v>172</v>
      </c>
      <c r="E181" s="67" t="s">
        <v>44</v>
      </c>
      <c r="F181" s="69" t="s">
        <v>160</v>
      </c>
      <c r="G181" s="64" t="str">
        <f t="shared" si="66"/>
        <v>Jun</v>
      </c>
      <c r="H181" s="64" t="str">
        <f t="shared" si="67"/>
        <v>06</v>
      </c>
      <c r="I181" s="64">
        <f t="shared" si="65"/>
        <v>2019</v>
      </c>
      <c r="J181" s="23" t="s">
        <v>49</v>
      </c>
      <c r="K181" s="39" t="s">
        <v>82</v>
      </c>
    </row>
    <row r="182" spans="1:12" s="39" customFormat="1" ht="15" customHeight="1" x14ac:dyDescent="0.4">
      <c r="A182" s="37" t="str">
        <f t="array" ref="A182">TEXT(WORKDAY(DATE($B$1,9,20)-1,1,IF('Holiday (Dates to Exclude)'!$D:$D=VLOOKUP($F182,'Holiday (Dates to Exclude)'!$A:$B,2,0),'Holiday (Dates to Exclude)'!$E:$E,)),"MM/DD/YY")</f>
        <v>09/20/19</v>
      </c>
      <c r="B182" s="64" t="str">
        <f t="shared" si="63"/>
        <v>Fri</v>
      </c>
      <c r="C182" s="64" t="str">
        <f t="shared" si="64"/>
        <v>Sep 2019</v>
      </c>
      <c r="D182" s="23" t="s">
        <v>172</v>
      </c>
      <c r="E182" s="67" t="s">
        <v>44</v>
      </c>
      <c r="F182" s="69" t="s">
        <v>160</v>
      </c>
      <c r="G182" s="64" t="str">
        <f t="shared" si="66"/>
        <v>Jul</v>
      </c>
      <c r="H182" s="64" t="str">
        <f t="shared" si="67"/>
        <v>07</v>
      </c>
      <c r="I182" s="64">
        <f t="shared" si="65"/>
        <v>2019</v>
      </c>
      <c r="J182" s="23" t="s">
        <v>49</v>
      </c>
      <c r="K182" s="39" t="s">
        <v>82</v>
      </c>
    </row>
    <row r="183" spans="1:12" s="39" customFormat="1" ht="15" customHeight="1" x14ac:dyDescent="0.4">
      <c r="A183" s="37" t="str">
        <f t="array" ref="A183">TEXT(WORKDAY(DATE($B$1,10,20)-1,1,IF('Holiday (Dates to Exclude)'!$D:$D=VLOOKUP($F183,'Holiday (Dates to Exclude)'!$A:$B,2,0),'Holiday (Dates to Exclude)'!$E:$E,)),"MM/DD/YY")</f>
        <v>10/21/19</v>
      </c>
      <c r="B183" s="64" t="str">
        <f t="shared" si="63"/>
        <v>Mon</v>
      </c>
      <c r="C183" s="64" t="str">
        <f t="shared" si="64"/>
        <v>Oct 2019</v>
      </c>
      <c r="D183" s="23" t="s">
        <v>172</v>
      </c>
      <c r="E183" s="67" t="s">
        <v>44</v>
      </c>
      <c r="F183" s="69" t="s">
        <v>160</v>
      </c>
      <c r="G183" s="64" t="str">
        <f t="shared" si="66"/>
        <v>Aug</v>
      </c>
      <c r="H183" s="64" t="str">
        <f t="shared" si="67"/>
        <v>08</v>
      </c>
      <c r="I183" s="64">
        <f t="shared" si="65"/>
        <v>2019</v>
      </c>
      <c r="J183" s="23" t="s">
        <v>49</v>
      </c>
      <c r="K183" s="39" t="s">
        <v>82</v>
      </c>
    </row>
    <row r="184" spans="1:12" s="39" customFormat="1" ht="15" customHeight="1" x14ac:dyDescent="0.4">
      <c r="A184" s="37" t="str">
        <f t="array" ref="A184">TEXT(WORKDAY(DATE($B$1,11,20)-1,1,IF('Holiday (Dates to Exclude)'!$D:$D=VLOOKUP($F184,'Holiday (Dates to Exclude)'!$A:$B,2,0),'Holiday (Dates to Exclude)'!$E:$E,)),"MM/DD/YY")</f>
        <v>11/20/19</v>
      </c>
      <c r="B184" s="64" t="str">
        <f t="shared" si="63"/>
        <v>Wed</v>
      </c>
      <c r="C184" s="64" t="str">
        <f t="shared" si="64"/>
        <v>Nov 2019</v>
      </c>
      <c r="D184" s="23" t="s">
        <v>172</v>
      </c>
      <c r="E184" s="67" t="s">
        <v>44</v>
      </c>
      <c r="F184" s="69" t="s">
        <v>160</v>
      </c>
      <c r="G184" s="64" t="str">
        <f t="shared" si="66"/>
        <v>Sep</v>
      </c>
      <c r="H184" s="64" t="str">
        <f t="shared" si="67"/>
        <v>09</v>
      </c>
      <c r="I184" s="64">
        <f t="shared" si="65"/>
        <v>2019</v>
      </c>
      <c r="J184" s="23" t="s">
        <v>49</v>
      </c>
      <c r="K184" s="39" t="s">
        <v>82</v>
      </c>
    </row>
    <row r="185" spans="1:12" s="39" customFormat="1" ht="15" customHeight="1" x14ac:dyDescent="0.4">
      <c r="A185" s="37" t="str">
        <f t="array" ref="A185">TEXT(WORKDAY(DATE($B$1,12,20)-1,1,IF('Holiday (Dates to Exclude)'!$D:$D=VLOOKUP($F185,'Holiday (Dates to Exclude)'!$A:$B,2,0),'Holiday (Dates to Exclude)'!$E:$E,)),"MM/DD/YY")</f>
        <v>12/20/19</v>
      </c>
      <c r="B185" s="64" t="str">
        <f t="shared" si="63"/>
        <v>Fri</v>
      </c>
      <c r="C185" s="64" t="str">
        <f t="shared" si="64"/>
        <v>Dec 2019</v>
      </c>
      <c r="D185" s="23" t="s">
        <v>172</v>
      </c>
      <c r="E185" s="67" t="s">
        <v>44</v>
      </c>
      <c r="F185" s="69" t="s">
        <v>160</v>
      </c>
      <c r="G185" s="64" t="str">
        <f t="shared" si="66"/>
        <v>Oct</v>
      </c>
      <c r="H185" s="64" t="str">
        <f t="shared" si="67"/>
        <v>10</v>
      </c>
      <c r="I185" s="64">
        <f t="shared" si="65"/>
        <v>2019</v>
      </c>
      <c r="J185" s="23" t="s">
        <v>49</v>
      </c>
      <c r="K185" s="39" t="s">
        <v>82</v>
      </c>
    </row>
    <row r="186" spans="1:12" s="39" customFormat="1" ht="15" customHeight="1" x14ac:dyDescent="0.4">
      <c r="A186" s="37"/>
      <c r="B186" s="64"/>
      <c r="C186" s="64"/>
      <c r="D186" s="23"/>
      <c r="E186" s="23"/>
      <c r="F186" s="23"/>
      <c r="G186" s="64"/>
      <c r="H186" s="64"/>
      <c r="I186" s="64"/>
      <c r="J186" s="23"/>
    </row>
    <row r="187" spans="1:12" s="34" customFormat="1" ht="15" customHeight="1" x14ac:dyDescent="0.4">
      <c r="A187" s="35" t="s">
        <v>96</v>
      </c>
      <c r="B187" s="36"/>
      <c r="C187" s="36"/>
      <c r="D187" s="35"/>
      <c r="E187" s="35"/>
      <c r="F187" s="35"/>
      <c r="G187" s="35"/>
      <c r="H187" s="35"/>
      <c r="I187" s="35"/>
      <c r="J187" s="35"/>
      <c r="K187" s="39"/>
    </row>
    <row r="188" spans="1:12" s="39" customFormat="1" ht="15" customHeight="1" x14ac:dyDescent="0.4">
      <c r="A188" s="37" t="str">
        <f>TEXT(WORKDAY(DATE($B$1,1,21)-1,1,IF('Holiday (Dates to Exclude)'!$D:$D=VLOOKUP($F188,'Holiday (Dates to Exclude)'!$A:$B,2,0),'Holiday (Dates to Exclude)'!$E:$E,)),"MM/DD/YY")</f>
        <v>01/21/19</v>
      </c>
      <c r="B188" s="64" t="str">
        <f t="shared" ref="B188:B199" si="68">TEXT($A188,"DDD")</f>
        <v>Mon</v>
      </c>
      <c r="C188" s="64" t="str">
        <f t="shared" ref="C188:C199" si="69">TEXT(A188,"MMM YYYY")</f>
        <v>Jan 2019</v>
      </c>
      <c r="D188" s="23" t="s">
        <v>174</v>
      </c>
      <c r="E188" s="67" t="s">
        <v>44</v>
      </c>
      <c r="F188" s="69" t="s">
        <v>146</v>
      </c>
      <c r="G188" s="64" t="str">
        <f>TEXT(EDATE($A188,-1),"MMM")</f>
        <v>Dec</v>
      </c>
      <c r="H188" s="64" t="str">
        <f>TEXT(EOMONTH($A188,-1),"MM")</f>
        <v>12</v>
      </c>
      <c r="I188" s="64">
        <f t="shared" ref="I188:I199" si="70">YEAR(A188)</f>
        <v>2019</v>
      </c>
      <c r="J188" s="23" t="s">
        <v>50</v>
      </c>
      <c r="K188" s="39" t="s">
        <v>82</v>
      </c>
      <c r="L188" s="34"/>
    </row>
    <row r="189" spans="1:12" s="39" customFormat="1" ht="15" customHeight="1" x14ac:dyDescent="0.4">
      <c r="A189" s="37" t="str">
        <f t="array" ref="A189">TEXT(WORKDAY(DATE($B$1,2,21)-1,1,IF('Holiday (Dates to Exclude)'!$D:$D=VLOOKUP($F189,'Holiday (Dates to Exclude)'!$A:$B,2,0),'Holiday (Dates to Exclude)'!$E:$E,)),"MM/DD/YY")</f>
        <v>02/21/19</v>
      </c>
      <c r="B189" s="64" t="str">
        <f t="shared" si="68"/>
        <v>Thu</v>
      </c>
      <c r="C189" s="64" t="str">
        <f t="shared" si="69"/>
        <v>Feb 2019</v>
      </c>
      <c r="D189" s="23" t="s">
        <v>174</v>
      </c>
      <c r="E189" s="67" t="s">
        <v>44</v>
      </c>
      <c r="F189" s="69" t="s">
        <v>146</v>
      </c>
      <c r="G189" s="64" t="str">
        <f t="shared" ref="G189:G199" si="71">TEXT(EDATE($A189,-1),"MMM")</f>
        <v>Jan</v>
      </c>
      <c r="H189" s="64" t="str">
        <f t="shared" ref="H189:H199" si="72">TEXT(EOMONTH($A189,-1),"MM")</f>
        <v>01</v>
      </c>
      <c r="I189" s="64">
        <f t="shared" si="70"/>
        <v>2019</v>
      </c>
      <c r="J189" s="23" t="s">
        <v>50</v>
      </c>
      <c r="K189" s="39" t="s">
        <v>82</v>
      </c>
    </row>
    <row r="190" spans="1:12" s="39" customFormat="1" ht="15" customHeight="1" x14ac:dyDescent="0.4">
      <c r="A190" s="37" t="str">
        <f t="array" ref="A190">TEXT(WORKDAY(DATE($B$1,3,21)-1,1,IF('Holiday (Dates to Exclude)'!$D:$D=VLOOKUP($F190,'Holiday (Dates to Exclude)'!$A:$B,2,0),'Holiday (Dates to Exclude)'!$E:$E,)),"MM/DD/YY")</f>
        <v>03/21/19</v>
      </c>
      <c r="B190" s="64" t="str">
        <f t="shared" si="68"/>
        <v>Thu</v>
      </c>
      <c r="C190" s="64" t="str">
        <f t="shared" si="69"/>
        <v>Mar 2019</v>
      </c>
      <c r="D190" s="23" t="s">
        <v>174</v>
      </c>
      <c r="E190" s="67" t="s">
        <v>44</v>
      </c>
      <c r="F190" s="69" t="s">
        <v>146</v>
      </c>
      <c r="G190" s="64" t="str">
        <f t="shared" si="71"/>
        <v>Feb</v>
      </c>
      <c r="H190" s="64" t="str">
        <f t="shared" si="72"/>
        <v>02</v>
      </c>
      <c r="I190" s="64">
        <f t="shared" si="70"/>
        <v>2019</v>
      </c>
      <c r="J190" s="23" t="s">
        <v>50</v>
      </c>
      <c r="K190" s="39" t="s">
        <v>82</v>
      </c>
    </row>
    <row r="191" spans="1:12" s="39" customFormat="1" ht="15" customHeight="1" x14ac:dyDescent="0.4">
      <c r="A191" s="37" t="str">
        <f t="array" ref="A191">TEXT(WORKDAY(DATE($B$1,4,21)-1,1,IF('Holiday (Dates to Exclude)'!$D:$D=VLOOKUP($F191,'Holiday (Dates to Exclude)'!$A:$B,2,0),'Holiday (Dates to Exclude)'!$E:$E,)),"MM/DD/YY")</f>
        <v>04/22/19</v>
      </c>
      <c r="B191" s="64" t="str">
        <f t="shared" si="68"/>
        <v>Mon</v>
      </c>
      <c r="C191" s="64" t="str">
        <f t="shared" si="69"/>
        <v>Apr 2019</v>
      </c>
      <c r="D191" s="23" t="s">
        <v>174</v>
      </c>
      <c r="E191" s="67" t="s">
        <v>44</v>
      </c>
      <c r="F191" s="69" t="s">
        <v>146</v>
      </c>
      <c r="G191" s="64" t="str">
        <f t="shared" si="71"/>
        <v>Mar</v>
      </c>
      <c r="H191" s="64" t="str">
        <f t="shared" si="72"/>
        <v>03</v>
      </c>
      <c r="I191" s="64">
        <f t="shared" si="70"/>
        <v>2019</v>
      </c>
      <c r="J191" s="23" t="s">
        <v>50</v>
      </c>
      <c r="K191" s="39" t="s">
        <v>82</v>
      </c>
    </row>
    <row r="192" spans="1:12" s="39" customFormat="1" ht="15" customHeight="1" x14ac:dyDescent="0.4">
      <c r="A192" s="37" t="str">
        <f t="array" ref="A192">TEXT(WORKDAY(DATE($B$1,5,21)-1,1,IF('Holiday (Dates to Exclude)'!$D:$D=VLOOKUP($F192,'Holiday (Dates to Exclude)'!$A:$B,2,0),'Holiday (Dates to Exclude)'!$E:$E,)),"MM/DD/YY")</f>
        <v>05/21/19</v>
      </c>
      <c r="B192" s="64" t="str">
        <f t="shared" si="68"/>
        <v>Tue</v>
      </c>
      <c r="C192" s="64" t="str">
        <f t="shared" si="69"/>
        <v>May 2019</v>
      </c>
      <c r="D192" s="23" t="s">
        <v>174</v>
      </c>
      <c r="E192" s="67" t="s">
        <v>44</v>
      </c>
      <c r="F192" s="69" t="s">
        <v>146</v>
      </c>
      <c r="G192" s="64" t="str">
        <f t="shared" si="71"/>
        <v>Apr</v>
      </c>
      <c r="H192" s="64" t="str">
        <f t="shared" si="72"/>
        <v>04</v>
      </c>
      <c r="I192" s="64">
        <f t="shared" si="70"/>
        <v>2019</v>
      </c>
      <c r="J192" s="23" t="s">
        <v>50</v>
      </c>
      <c r="K192" s="39" t="s">
        <v>82</v>
      </c>
    </row>
    <row r="193" spans="1:12" s="39" customFormat="1" ht="15" customHeight="1" x14ac:dyDescent="0.4">
      <c r="A193" s="37" t="str">
        <f t="array" ref="A193">TEXT(WORKDAY(DATE($B$1,6,21)-1,1,IF('Holiday (Dates to Exclude)'!$D:$D=VLOOKUP($F193,'Holiday (Dates to Exclude)'!$A:$B,2,0),'Holiday (Dates to Exclude)'!$E:$E,)),"MM/DD/YY")</f>
        <v>06/21/19</v>
      </c>
      <c r="B193" s="64" t="str">
        <f t="shared" si="68"/>
        <v>Fri</v>
      </c>
      <c r="C193" s="64" t="str">
        <f t="shared" si="69"/>
        <v>Jun 2019</v>
      </c>
      <c r="D193" s="23" t="s">
        <v>174</v>
      </c>
      <c r="E193" s="67" t="s">
        <v>44</v>
      </c>
      <c r="F193" s="69" t="s">
        <v>146</v>
      </c>
      <c r="G193" s="64" t="str">
        <f t="shared" si="71"/>
        <v>May</v>
      </c>
      <c r="H193" s="64" t="str">
        <f t="shared" si="72"/>
        <v>05</v>
      </c>
      <c r="I193" s="64">
        <f t="shared" si="70"/>
        <v>2019</v>
      </c>
      <c r="J193" s="23" t="s">
        <v>50</v>
      </c>
      <c r="K193" s="39" t="s">
        <v>82</v>
      </c>
    </row>
    <row r="194" spans="1:12" s="39" customFormat="1" ht="15" customHeight="1" x14ac:dyDescent="0.4">
      <c r="A194" s="37" t="str">
        <f t="array" ref="A194">TEXT(WORKDAY(DATE($B$1,7,21)-1,1,IF('Holiday (Dates to Exclude)'!$D:$D=VLOOKUP($F194,'Holiday (Dates to Exclude)'!$A:$B,2,0),'Holiday (Dates to Exclude)'!$E:$E,)),"MM/DD/YY")</f>
        <v>07/22/19</v>
      </c>
      <c r="B194" s="64" t="str">
        <f t="shared" si="68"/>
        <v>Mon</v>
      </c>
      <c r="C194" s="64" t="str">
        <f t="shared" si="69"/>
        <v>Jul 2019</v>
      </c>
      <c r="D194" s="23" t="s">
        <v>174</v>
      </c>
      <c r="E194" s="67" t="s">
        <v>44</v>
      </c>
      <c r="F194" s="69" t="s">
        <v>146</v>
      </c>
      <c r="G194" s="64" t="str">
        <f t="shared" si="71"/>
        <v>Jun</v>
      </c>
      <c r="H194" s="64" t="str">
        <f t="shared" si="72"/>
        <v>06</v>
      </c>
      <c r="I194" s="64">
        <f t="shared" si="70"/>
        <v>2019</v>
      </c>
      <c r="J194" s="23" t="s">
        <v>50</v>
      </c>
      <c r="K194" s="39" t="s">
        <v>82</v>
      </c>
      <c r="L194" s="34"/>
    </row>
    <row r="195" spans="1:12" s="39" customFormat="1" ht="15" customHeight="1" x14ac:dyDescent="0.4">
      <c r="A195" s="37" t="str">
        <f t="array" ref="A195">TEXT(WORKDAY(DATE($B$1,8,21)-1,1,IF('Holiday (Dates to Exclude)'!$D:$D=VLOOKUP($F195,'Holiday (Dates to Exclude)'!$A:$B,2,0),'Holiday (Dates to Exclude)'!$E:$E,)),"MM/DD/YY")</f>
        <v>08/21/19</v>
      </c>
      <c r="B195" s="64" t="str">
        <f t="shared" si="68"/>
        <v>Wed</v>
      </c>
      <c r="C195" s="64" t="str">
        <f t="shared" si="69"/>
        <v>Aug 2019</v>
      </c>
      <c r="D195" s="23" t="s">
        <v>174</v>
      </c>
      <c r="E195" s="67" t="s">
        <v>44</v>
      </c>
      <c r="F195" s="69" t="s">
        <v>146</v>
      </c>
      <c r="G195" s="64" t="str">
        <f t="shared" si="71"/>
        <v>Jul</v>
      </c>
      <c r="H195" s="64" t="str">
        <f t="shared" si="72"/>
        <v>07</v>
      </c>
      <c r="I195" s="64">
        <f t="shared" si="70"/>
        <v>2019</v>
      </c>
      <c r="J195" s="23" t="s">
        <v>50</v>
      </c>
      <c r="K195" s="39" t="s">
        <v>82</v>
      </c>
    </row>
    <row r="196" spans="1:12" s="39" customFormat="1" ht="15" customHeight="1" x14ac:dyDescent="0.4">
      <c r="A196" s="37" t="str">
        <f t="array" ref="A196">TEXT(WORKDAY(DATE($B$1,9,21)-1,1,IF('Holiday (Dates to Exclude)'!$D:$D=VLOOKUP($F196,'Holiday (Dates to Exclude)'!$A:$B,2,0),'Holiday (Dates to Exclude)'!$E:$E,)),"MM/DD/YY")</f>
        <v>09/23/19</v>
      </c>
      <c r="B196" s="64" t="str">
        <f t="shared" si="68"/>
        <v>Mon</v>
      </c>
      <c r="C196" s="64" t="str">
        <f t="shared" si="69"/>
        <v>Sep 2019</v>
      </c>
      <c r="D196" s="23" t="s">
        <v>174</v>
      </c>
      <c r="E196" s="67" t="s">
        <v>44</v>
      </c>
      <c r="F196" s="69" t="s">
        <v>146</v>
      </c>
      <c r="G196" s="64" t="str">
        <f t="shared" si="71"/>
        <v>Aug</v>
      </c>
      <c r="H196" s="64" t="str">
        <f t="shared" si="72"/>
        <v>08</v>
      </c>
      <c r="I196" s="64">
        <f t="shared" si="70"/>
        <v>2019</v>
      </c>
      <c r="J196" s="23" t="s">
        <v>50</v>
      </c>
      <c r="K196" s="39" t="s">
        <v>82</v>
      </c>
    </row>
    <row r="197" spans="1:12" s="39" customFormat="1" ht="15" customHeight="1" x14ac:dyDescent="0.4">
      <c r="A197" s="37" t="str">
        <f t="array" ref="A197">TEXT(WORKDAY(DATE($B$1,10,21)-1,1,IF('Holiday (Dates to Exclude)'!$D:$D=VLOOKUP($F197,'Holiday (Dates to Exclude)'!$A:$B,2,0),'Holiday (Dates to Exclude)'!$E:$E,)),"MM/DD/YY")</f>
        <v>10/21/19</v>
      </c>
      <c r="B197" s="64" t="str">
        <f t="shared" si="68"/>
        <v>Mon</v>
      </c>
      <c r="C197" s="64" t="str">
        <f t="shared" si="69"/>
        <v>Oct 2019</v>
      </c>
      <c r="D197" s="23" t="s">
        <v>174</v>
      </c>
      <c r="E197" s="67" t="s">
        <v>44</v>
      </c>
      <c r="F197" s="69" t="s">
        <v>146</v>
      </c>
      <c r="G197" s="64" t="str">
        <f t="shared" si="71"/>
        <v>Sep</v>
      </c>
      <c r="H197" s="64" t="str">
        <f t="shared" si="72"/>
        <v>09</v>
      </c>
      <c r="I197" s="64">
        <f t="shared" si="70"/>
        <v>2019</v>
      </c>
      <c r="J197" s="23" t="s">
        <v>50</v>
      </c>
      <c r="K197" s="39" t="s">
        <v>82</v>
      </c>
    </row>
    <row r="198" spans="1:12" s="39" customFormat="1" ht="15" customHeight="1" x14ac:dyDescent="0.4">
      <c r="A198" s="37" t="str">
        <f t="array" ref="A198">TEXT(WORKDAY(DATE($B$1,11,21)-1,1,IF('Holiday (Dates to Exclude)'!$D:$D=VLOOKUP($F198,'Holiday (Dates to Exclude)'!$A:$B,2,0),'Holiday (Dates to Exclude)'!$E:$E,)),"MM/DD/YY")</f>
        <v>11/21/19</v>
      </c>
      <c r="B198" s="64" t="str">
        <f t="shared" si="68"/>
        <v>Thu</v>
      </c>
      <c r="C198" s="64" t="str">
        <f t="shared" si="69"/>
        <v>Nov 2019</v>
      </c>
      <c r="D198" s="23" t="s">
        <v>174</v>
      </c>
      <c r="E198" s="67" t="s">
        <v>44</v>
      </c>
      <c r="F198" s="69" t="s">
        <v>146</v>
      </c>
      <c r="G198" s="64" t="str">
        <f t="shared" si="71"/>
        <v>Oct</v>
      </c>
      <c r="H198" s="64" t="str">
        <f t="shared" si="72"/>
        <v>10</v>
      </c>
      <c r="I198" s="64">
        <f t="shared" si="70"/>
        <v>2019</v>
      </c>
      <c r="J198" s="23" t="s">
        <v>50</v>
      </c>
      <c r="K198" s="39" t="s">
        <v>82</v>
      </c>
    </row>
    <row r="199" spans="1:12" s="39" customFormat="1" ht="15" customHeight="1" x14ac:dyDescent="0.4">
      <c r="A199" s="37" t="str">
        <f t="array" ref="A199">TEXT(WORKDAY(DATE($B$1,12,21)-1,1,IF('Holiday (Dates to Exclude)'!$D:$D=VLOOKUP($F199,'Holiday (Dates to Exclude)'!$A:$B,2,0),'Holiday (Dates to Exclude)'!$E:$E,)),"MM/DD/YY")</f>
        <v>12/23/19</v>
      </c>
      <c r="B199" s="64" t="str">
        <f t="shared" si="68"/>
        <v>Mon</v>
      </c>
      <c r="C199" s="64" t="str">
        <f t="shared" si="69"/>
        <v>Dec 2019</v>
      </c>
      <c r="D199" s="23" t="s">
        <v>174</v>
      </c>
      <c r="E199" s="67" t="s">
        <v>44</v>
      </c>
      <c r="F199" s="69" t="s">
        <v>146</v>
      </c>
      <c r="G199" s="64" t="str">
        <f t="shared" si="71"/>
        <v>Nov</v>
      </c>
      <c r="H199" s="64" t="str">
        <f t="shared" si="72"/>
        <v>11</v>
      </c>
      <c r="I199" s="64">
        <f t="shared" si="70"/>
        <v>2019</v>
      </c>
      <c r="J199" s="23" t="s">
        <v>50</v>
      </c>
      <c r="K199" s="39" t="s">
        <v>82</v>
      </c>
    </row>
    <row r="200" spans="1:12" s="39" customFormat="1" ht="15" customHeight="1" x14ac:dyDescent="0.4">
      <c r="A200" s="37"/>
      <c r="B200" s="64"/>
      <c r="C200" s="64"/>
      <c r="D200" s="23"/>
      <c r="E200" s="23"/>
      <c r="F200" s="23"/>
      <c r="G200" s="64"/>
      <c r="H200" s="64"/>
      <c r="I200" s="64"/>
      <c r="J200" s="23"/>
    </row>
    <row r="201" spans="1:12" s="34" customFormat="1" ht="15" customHeight="1" x14ac:dyDescent="0.4">
      <c r="A201" s="35" t="s">
        <v>98</v>
      </c>
      <c r="B201" s="36"/>
      <c r="C201" s="36"/>
      <c r="D201" s="35"/>
      <c r="E201" s="35"/>
      <c r="F201" s="35"/>
      <c r="G201" s="35"/>
      <c r="H201" s="35"/>
      <c r="I201" s="35"/>
      <c r="J201" s="35"/>
      <c r="K201" s="39"/>
    </row>
    <row r="202" spans="1:12" s="39" customFormat="1" ht="15" customHeight="1" x14ac:dyDescent="0.4">
      <c r="A202" s="37" t="str">
        <f>TEXT(WORKDAY(DATE($B$1,1,22)-1,1,IF('Holiday (Dates to Exclude)'!$D:$D=VLOOKUP($F202,'Holiday (Dates to Exclude)'!$A:$B,2,0),'Holiday (Dates to Exclude)'!$E:$E,)),"MM/DD/YY")</f>
        <v>01/22/19</v>
      </c>
      <c r="B202" s="64" t="str">
        <f t="shared" ref="B202:B213" si="73">TEXT($A202,"DDD")</f>
        <v>Tue</v>
      </c>
      <c r="C202" s="64" t="str">
        <f t="shared" ref="C202:C213" si="74">TEXT(A202,"MMM YYYY")</f>
        <v>Jan 2019</v>
      </c>
      <c r="D202" s="23" t="s">
        <v>170</v>
      </c>
      <c r="E202" s="23" t="s">
        <v>44</v>
      </c>
      <c r="F202" s="23" t="s">
        <v>160</v>
      </c>
      <c r="G202" s="64" t="str">
        <f>TEXT(EDATE($A202,-1),"MMM")</f>
        <v>Dec</v>
      </c>
      <c r="H202" s="64" t="str">
        <f>TEXT(EOMONTH($A202,-1),"MM")</f>
        <v>12</v>
      </c>
      <c r="I202" s="64">
        <f t="shared" ref="I202:I213" si="75">YEAR(A202)</f>
        <v>2019</v>
      </c>
      <c r="J202" s="23" t="s">
        <v>97</v>
      </c>
      <c r="K202" s="39" t="s">
        <v>82</v>
      </c>
      <c r="L202" s="34"/>
    </row>
    <row r="203" spans="1:12" s="39" customFormat="1" ht="15" customHeight="1" x14ac:dyDescent="0.4">
      <c r="A203" s="37" t="str">
        <f t="array" ref="A203">TEXT(WORKDAY(DATE($B$1,2,22)-1,1,IF('Holiday (Dates to Exclude)'!$D:$D=VLOOKUP($F203,'Holiday (Dates to Exclude)'!$A:$B,2,0),'Holiday (Dates to Exclude)'!$E:$E,)),"MM/DD/YY")</f>
        <v>02/22/19</v>
      </c>
      <c r="B203" s="64" t="str">
        <f t="shared" si="73"/>
        <v>Fri</v>
      </c>
      <c r="C203" s="64" t="str">
        <f t="shared" si="74"/>
        <v>Feb 2019</v>
      </c>
      <c r="D203" s="23" t="s">
        <v>170</v>
      </c>
      <c r="E203" s="23" t="s">
        <v>44</v>
      </c>
      <c r="F203" s="23" t="s">
        <v>160</v>
      </c>
      <c r="G203" s="64" t="str">
        <f t="shared" ref="G203:G213" si="76">TEXT(EDATE($A203,-1),"MMM")</f>
        <v>Jan</v>
      </c>
      <c r="H203" s="64" t="str">
        <f t="shared" ref="H203:H213" si="77">TEXT(EOMONTH($A203,-1),"MM")</f>
        <v>01</v>
      </c>
      <c r="I203" s="64">
        <f t="shared" si="75"/>
        <v>2019</v>
      </c>
      <c r="J203" s="23" t="s">
        <v>97</v>
      </c>
      <c r="K203" s="39" t="s">
        <v>82</v>
      </c>
    </row>
    <row r="204" spans="1:12" s="39" customFormat="1" ht="15" customHeight="1" x14ac:dyDescent="0.4">
      <c r="A204" s="37" t="str">
        <f t="array" ref="A204">TEXT(WORKDAY(DATE($B$1,3,22)-1,1,IF('Holiday (Dates to Exclude)'!$D:$D=VLOOKUP($F204,'Holiday (Dates to Exclude)'!$A:$B,2,0),'Holiday (Dates to Exclude)'!$E:$E,)),"MM/DD/YY")</f>
        <v>03/22/19</v>
      </c>
      <c r="B204" s="64" t="str">
        <f t="shared" si="73"/>
        <v>Fri</v>
      </c>
      <c r="C204" s="64" t="str">
        <f t="shared" si="74"/>
        <v>Mar 2019</v>
      </c>
      <c r="D204" s="23" t="s">
        <v>170</v>
      </c>
      <c r="E204" s="23" t="s">
        <v>44</v>
      </c>
      <c r="F204" s="23" t="s">
        <v>160</v>
      </c>
      <c r="G204" s="64" t="str">
        <f t="shared" si="76"/>
        <v>Feb</v>
      </c>
      <c r="H204" s="64" t="str">
        <f t="shared" si="77"/>
        <v>02</v>
      </c>
      <c r="I204" s="64">
        <f t="shared" si="75"/>
        <v>2019</v>
      </c>
      <c r="J204" s="23" t="s">
        <v>97</v>
      </c>
      <c r="K204" s="39" t="s">
        <v>82</v>
      </c>
    </row>
    <row r="205" spans="1:12" s="39" customFormat="1" ht="15" customHeight="1" x14ac:dyDescent="0.4">
      <c r="A205" s="37" t="str">
        <f t="array" ref="A205">TEXT(WORKDAY(DATE($B$1,4,22)-1,1,IF('Holiday (Dates to Exclude)'!$D:$D=VLOOKUP($F205,'Holiday (Dates to Exclude)'!$A:$B,2,0),'Holiday (Dates to Exclude)'!$E:$E,)),"MM/DD/YY")</f>
        <v>04/22/19</v>
      </c>
      <c r="B205" s="64" t="str">
        <f t="shared" si="73"/>
        <v>Mon</v>
      </c>
      <c r="C205" s="64" t="str">
        <f t="shared" si="74"/>
        <v>Apr 2019</v>
      </c>
      <c r="D205" s="23" t="s">
        <v>170</v>
      </c>
      <c r="E205" s="23" t="s">
        <v>44</v>
      </c>
      <c r="F205" s="23" t="s">
        <v>160</v>
      </c>
      <c r="G205" s="64" t="str">
        <f t="shared" si="76"/>
        <v>Mar</v>
      </c>
      <c r="H205" s="64" t="str">
        <f t="shared" si="77"/>
        <v>03</v>
      </c>
      <c r="I205" s="64">
        <f t="shared" si="75"/>
        <v>2019</v>
      </c>
      <c r="J205" s="23" t="s">
        <v>97</v>
      </c>
      <c r="K205" s="39" t="s">
        <v>82</v>
      </c>
    </row>
    <row r="206" spans="1:12" s="39" customFormat="1" ht="15" customHeight="1" x14ac:dyDescent="0.4">
      <c r="A206" s="37" t="str">
        <f t="array" ref="A206">TEXT(WORKDAY(DATE($B$1,5,22)-1,1,IF('Holiday (Dates to Exclude)'!$D:$D=VLOOKUP($F206,'Holiday (Dates to Exclude)'!$A:$B,2,0),'Holiday (Dates to Exclude)'!$E:$E,)),"MM/DD/YY")</f>
        <v>05/22/19</v>
      </c>
      <c r="B206" s="64" t="str">
        <f t="shared" si="73"/>
        <v>Wed</v>
      </c>
      <c r="C206" s="64" t="str">
        <f t="shared" si="74"/>
        <v>May 2019</v>
      </c>
      <c r="D206" s="23" t="s">
        <v>170</v>
      </c>
      <c r="E206" s="23" t="s">
        <v>44</v>
      </c>
      <c r="F206" s="23" t="s">
        <v>160</v>
      </c>
      <c r="G206" s="64" t="str">
        <f t="shared" si="76"/>
        <v>Apr</v>
      </c>
      <c r="H206" s="64" t="str">
        <f t="shared" si="77"/>
        <v>04</v>
      </c>
      <c r="I206" s="64">
        <f t="shared" si="75"/>
        <v>2019</v>
      </c>
      <c r="J206" s="23" t="s">
        <v>97</v>
      </c>
      <c r="K206" s="39" t="s">
        <v>82</v>
      </c>
    </row>
    <row r="207" spans="1:12" s="39" customFormat="1" ht="15" customHeight="1" x14ac:dyDescent="0.4">
      <c r="A207" s="37" t="str">
        <f t="array" ref="A207">TEXT(WORKDAY(DATE($B$1,6,22)-1,1,IF('Holiday (Dates to Exclude)'!$D:$D=VLOOKUP($F207,'Holiday (Dates to Exclude)'!$A:$B,2,0),'Holiday (Dates to Exclude)'!$E:$E,)),"MM/DD/YY")</f>
        <v>06/24/19</v>
      </c>
      <c r="B207" s="64" t="str">
        <f t="shared" si="73"/>
        <v>Mon</v>
      </c>
      <c r="C207" s="64" t="str">
        <f t="shared" si="74"/>
        <v>Jun 2019</v>
      </c>
      <c r="D207" s="23" t="s">
        <v>170</v>
      </c>
      <c r="E207" s="23" t="s">
        <v>44</v>
      </c>
      <c r="F207" s="23" t="s">
        <v>160</v>
      </c>
      <c r="G207" s="64" t="str">
        <f t="shared" si="76"/>
        <v>May</v>
      </c>
      <c r="H207" s="64" t="str">
        <f t="shared" si="77"/>
        <v>05</v>
      </c>
      <c r="I207" s="64">
        <f t="shared" si="75"/>
        <v>2019</v>
      </c>
      <c r="J207" s="23" t="s">
        <v>97</v>
      </c>
      <c r="K207" s="39" t="s">
        <v>82</v>
      </c>
    </row>
    <row r="208" spans="1:12" s="39" customFormat="1" ht="15" customHeight="1" x14ac:dyDescent="0.4">
      <c r="A208" s="37" t="str">
        <f t="array" ref="A208">TEXT(WORKDAY(DATE($B$1,7,22)-1,1,IF('Holiday (Dates to Exclude)'!$D:$D=VLOOKUP($F208,'Holiday (Dates to Exclude)'!$A:$B,2,0),'Holiday (Dates to Exclude)'!$E:$E,)),"MM/DD/YY")</f>
        <v>07/22/19</v>
      </c>
      <c r="B208" s="64" t="str">
        <f t="shared" si="73"/>
        <v>Mon</v>
      </c>
      <c r="C208" s="64" t="str">
        <f t="shared" si="74"/>
        <v>Jul 2019</v>
      </c>
      <c r="D208" s="23" t="s">
        <v>170</v>
      </c>
      <c r="E208" s="23" t="s">
        <v>44</v>
      </c>
      <c r="F208" s="23" t="s">
        <v>160</v>
      </c>
      <c r="G208" s="64" t="str">
        <f t="shared" si="76"/>
        <v>Jun</v>
      </c>
      <c r="H208" s="64" t="str">
        <f t="shared" si="77"/>
        <v>06</v>
      </c>
      <c r="I208" s="64">
        <f t="shared" si="75"/>
        <v>2019</v>
      </c>
      <c r="J208" s="23" t="s">
        <v>97</v>
      </c>
      <c r="K208" s="39" t="s">
        <v>82</v>
      </c>
      <c r="L208" s="34"/>
    </row>
    <row r="209" spans="1:12" s="39" customFormat="1" ht="15" customHeight="1" x14ac:dyDescent="0.4">
      <c r="A209" s="37" t="str">
        <f t="array" ref="A209">TEXT(WORKDAY(DATE($B$1,8,22)-1,1,IF('Holiday (Dates to Exclude)'!$D:$D=VLOOKUP($F209,'Holiday (Dates to Exclude)'!$A:$B,2,0),'Holiday (Dates to Exclude)'!$E:$E,)),"MM/DD/YY")</f>
        <v>08/22/19</v>
      </c>
      <c r="B209" s="64" t="str">
        <f t="shared" si="73"/>
        <v>Thu</v>
      </c>
      <c r="C209" s="64" t="str">
        <f t="shared" si="74"/>
        <v>Aug 2019</v>
      </c>
      <c r="D209" s="23" t="s">
        <v>170</v>
      </c>
      <c r="E209" s="23" t="s">
        <v>44</v>
      </c>
      <c r="F209" s="23" t="s">
        <v>160</v>
      </c>
      <c r="G209" s="64" t="str">
        <f t="shared" si="76"/>
        <v>Jul</v>
      </c>
      <c r="H209" s="64" t="str">
        <f t="shared" si="77"/>
        <v>07</v>
      </c>
      <c r="I209" s="64">
        <f t="shared" si="75"/>
        <v>2019</v>
      </c>
      <c r="J209" s="23" t="s">
        <v>97</v>
      </c>
      <c r="K209" s="39" t="s">
        <v>82</v>
      </c>
    </row>
    <row r="210" spans="1:12" s="39" customFormat="1" ht="15" customHeight="1" x14ac:dyDescent="0.4">
      <c r="A210" s="37" t="str">
        <f t="array" ref="A210">TEXT(WORKDAY(DATE($B$1,9,22)-1,1,IF('Holiday (Dates to Exclude)'!$D:$D=VLOOKUP($F210,'Holiday (Dates to Exclude)'!$A:$B,2,0),'Holiday (Dates to Exclude)'!$E:$E,)),"MM/DD/YY")</f>
        <v>09/23/19</v>
      </c>
      <c r="B210" s="64" t="str">
        <f t="shared" si="73"/>
        <v>Mon</v>
      </c>
      <c r="C210" s="64" t="str">
        <f t="shared" si="74"/>
        <v>Sep 2019</v>
      </c>
      <c r="D210" s="23" t="s">
        <v>170</v>
      </c>
      <c r="E210" s="23" t="s">
        <v>44</v>
      </c>
      <c r="F210" s="23" t="s">
        <v>160</v>
      </c>
      <c r="G210" s="64" t="str">
        <f t="shared" si="76"/>
        <v>Aug</v>
      </c>
      <c r="H210" s="64" t="str">
        <f t="shared" si="77"/>
        <v>08</v>
      </c>
      <c r="I210" s="64">
        <f t="shared" si="75"/>
        <v>2019</v>
      </c>
      <c r="J210" s="23" t="s">
        <v>97</v>
      </c>
      <c r="K210" s="39" t="s">
        <v>82</v>
      </c>
    </row>
    <row r="211" spans="1:12" s="39" customFormat="1" ht="15" customHeight="1" x14ac:dyDescent="0.4">
      <c r="A211" s="37" t="str">
        <f t="array" ref="A211">TEXT(WORKDAY(DATE($B$1,10,22)-1,1,IF('Holiday (Dates to Exclude)'!$D:$D=VLOOKUP($F211,'Holiday (Dates to Exclude)'!$A:$B,2,0),'Holiday (Dates to Exclude)'!$E:$E,)),"MM/DD/YY")</f>
        <v>10/22/19</v>
      </c>
      <c r="B211" s="64" t="str">
        <f t="shared" si="73"/>
        <v>Tue</v>
      </c>
      <c r="C211" s="64" t="str">
        <f t="shared" si="74"/>
        <v>Oct 2019</v>
      </c>
      <c r="D211" s="23" t="s">
        <v>170</v>
      </c>
      <c r="E211" s="23" t="s">
        <v>44</v>
      </c>
      <c r="F211" s="23" t="s">
        <v>160</v>
      </c>
      <c r="G211" s="64" t="str">
        <f t="shared" si="76"/>
        <v>Sep</v>
      </c>
      <c r="H211" s="64" t="str">
        <f t="shared" si="77"/>
        <v>09</v>
      </c>
      <c r="I211" s="64">
        <f t="shared" si="75"/>
        <v>2019</v>
      </c>
      <c r="J211" s="23" t="s">
        <v>97</v>
      </c>
      <c r="K211" s="39" t="s">
        <v>82</v>
      </c>
    </row>
    <row r="212" spans="1:12" s="39" customFormat="1" ht="15" customHeight="1" x14ac:dyDescent="0.4">
      <c r="A212" s="37" t="str">
        <f t="array" ref="A212">TEXT(WORKDAY(DATE($B$1,11,22)-1,1,IF('Holiday (Dates to Exclude)'!$D:$D=VLOOKUP($F212,'Holiday (Dates to Exclude)'!$A:$B,2,0),'Holiday (Dates to Exclude)'!$E:$E,)),"MM/DD/YY")</f>
        <v>11/22/19</v>
      </c>
      <c r="B212" s="64" t="str">
        <f t="shared" si="73"/>
        <v>Fri</v>
      </c>
      <c r="C212" s="64" t="str">
        <f t="shared" si="74"/>
        <v>Nov 2019</v>
      </c>
      <c r="D212" s="23" t="s">
        <v>170</v>
      </c>
      <c r="E212" s="23" t="s">
        <v>44</v>
      </c>
      <c r="F212" s="23" t="s">
        <v>160</v>
      </c>
      <c r="G212" s="64" t="str">
        <f t="shared" si="76"/>
        <v>Oct</v>
      </c>
      <c r="H212" s="64" t="str">
        <f t="shared" si="77"/>
        <v>10</v>
      </c>
      <c r="I212" s="64">
        <f t="shared" si="75"/>
        <v>2019</v>
      </c>
      <c r="J212" s="23" t="s">
        <v>97</v>
      </c>
      <c r="K212" s="39" t="s">
        <v>82</v>
      </c>
    </row>
    <row r="213" spans="1:12" s="39" customFormat="1" ht="15" customHeight="1" x14ac:dyDescent="0.4">
      <c r="A213" s="37" t="str">
        <f t="array" ref="A213">TEXT(WORKDAY(DATE($B$1,12,22)-1,1,IF('Holiday (Dates to Exclude)'!$D:$D=VLOOKUP($F213,'Holiday (Dates to Exclude)'!$A:$B,2,0),'Holiday (Dates to Exclude)'!$E:$E,)),"MM/DD/YY")</f>
        <v>12/23/19</v>
      </c>
      <c r="B213" s="64" t="str">
        <f t="shared" si="73"/>
        <v>Mon</v>
      </c>
      <c r="C213" s="64" t="str">
        <f t="shared" si="74"/>
        <v>Dec 2019</v>
      </c>
      <c r="D213" s="23" t="s">
        <v>170</v>
      </c>
      <c r="E213" s="23" t="s">
        <v>44</v>
      </c>
      <c r="F213" s="23" t="s">
        <v>160</v>
      </c>
      <c r="G213" s="64" t="str">
        <f t="shared" si="76"/>
        <v>Nov</v>
      </c>
      <c r="H213" s="64" t="str">
        <f t="shared" si="77"/>
        <v>11</v>
      </c>
      <c r="I213" s="64">
        <f t="shared" si="75"/>
        <v>2019</v>
      </c>
      <c r="J213" s="23" t="s">
        <v>97</v>
      </c>
      <c r="K213" s="39" t="s">
        <v>82</v>
      </c>
    </row>
    <row r="214" spans="1:12" s="39" customFormat="1" ht="15" customHeight="1" x14ac:dyDescent="0.4">
      <c r="A214" s="37"/>
      <c r="B214" s="64"/>
      <c r="C214" s="64"/>
      <c r="D214" s="23"/>
      <c r="E214" s="23"/>
      <c r="F214" s="23"/>
      <c r="G214" s="64"/>
      <c r="H214" s="64"/>
      <c r="I214" s="64"/>
      <c r="J214" s="23"/>
    </row>
    <row r="215" spans="1:12" s="34" customFormat="1" ht="15" customHeight="1" x14ac:dyDescent="0.4">
      <c r="A215" s="35" t="s">
        <v>99</v>
      </c>
      <c r="B215" s="36"/>
      <c r="C215" s="36"/>
      <c r="D215" s="35"/>
      <c r="E215" s="35"/>
      <c r="F215" s="35"/>
      <c r="G215" s="35"/>
      <c r="H215" s="35"/>
      <c r="I215" s="35"/>
      <c r="J215" s="35"/>
      <c r="K215" s="39"/>
    </row>
    <row r="216" spans="1:12" s="39" customFormat="1" ht="15" customHeight="1" x14ac:dyDescent="0.4">
      <c r="A216" s="37" t="str">
        <f>TEXT(WORKDAY(DATE($B$1,1,25)-1,1,IF('Holiday (Dates to Exclude)'!$D:$D=VLOOKUP($F216,'Holiday (Dates to Exclude)'!$A:$B,2,0),'Holiday (Dates to Exclude)'!$E:$E,)),"MM/DD/YY")</f>
        <v>01/25/19</v>
      </c>
      <c r="B216" s="64" t="str">
        <f t="shared" ref="B216:B227" si="78">TEXT($A216,"DDD")</f>
        <v>Fri</v>
      </c>
      <c r="C216" s="64" t="str">
        <f t="shared" ref="C216:C227" si="79">TEXT(A216,"MMM YYYY")</f>
        <v>Jan 2019</v>
      </c>
      <c r="D216" s="23" t="s">
        <v>175</v>
      </c>
      <c r="E216" s="23" t="s">
        <v>44</v>
      </c>
      <c r="F216" s="23" t="s">
        <v>153</v>
      </c>
      <c r="G216" s="64" t="str">
        <f>TEXT(EDATE($A216,-2),"MMM")</f>
        <v>Nov</v>
      </c>
      <c r="H216" s="64" t="str">
        <f>TEXT(EOMONTH($A216,-2),"MM")</f>
        <v>11</v>
      </c>
      <c r="I216" s="64">
        <f t="shared" ref="I216:I227" si="80">YEAR(A216)</f>
        <v>2019</v>
      </c>
      <c r="J216" s="23" t="s">
        <v>39</v>
      </c>
      <c r="K216" s="39" t="s">
        <v>82</v>
      </c>
      <c r="L216" s="34"/>
    </row>
    <row r="217" spans="1:12" s="39" customFormat="1" ht="15" customHeight="1" x14ac:dyDescent="0.4">
      <c r="A217" s="37" t="str">
        <f t="array" ref="A217">TEXT(WORKDAY(DATE($B$1,2,25)-1,1,IF('Holiday (Dates to Exclude)'!$D:$D=VLOOKUP($F217,'Holiday (Dates to Exclude)'!$A:$B,2,0),'Holiday (Dates to Exclude)'!$E:$E,)),"MM/DD/YY")</f>
        <v>02/25/19</v>
      </c>
      <c r="B217" s="64" t="str">
        <f t="shared" si="78"/>
        <v>Mon</v>
      </c>
      <c r="C217" s="64" t="str">
        <f t="shared" si="79"/>
        <v>Feb 2019</v>
      </c>
      <c r="D217" s="23" t="s">
        <v>175</v>
      </c>
      <c r="E217" s="23" t="s">
        <v>44</v>
      </c>
      <c r="F217" s="23" t="s">
        <v>153</v>
      </c>
      <c r="G217" s="64" t="str">
        <f t="shared" ref="G217:G227" si="81">TEXT(EDATE($A217,-2),"MMM")</f>
        <v>Dec</v>
      </c>
      <c r="H217" s="64" t="str">
        <f t="shared" ref="H217:H227" si="82">TEXT(EOMONTH($A217,-2),"MM")</f>
        <v>12</v>
      </c>
      <c r="I217" s="64">
        <f t="shared" si="80"/>
        <v>2019</v>
      </c>
      <c r="J217" s="23" t="s">
        <v>39</v>
      </c>
      <c r="K217" s="39" t="s">
        <v>82</v>
      </c>
    </row>
    <row r="218" spans="1:12" s="39" customFormat="1" ht="15" customHeight="1" x14ac:dyDescent="0.4">
      <c r="A218" s="37" t="str">
        <f t="array" ref="A218">TEXT(WORKDAY(DATE($B$1,3,25)-1,1,IF('Holiday (Dates to Exclude)'!$D:$D=VLOOKUP($F218,'Holiday (Dates to Exclude)'!$A:$B,2,0),'Holiday (Dates to Exclude)'!$E:$E,)),"MM/DD/YY")</f>
        <v>03/25/19</v>
      </c>
      <c r="B218" s="64" t="str">
        <f t="shared" si="78"/>
        <v>Mon</v>
      </c>
      <c r="C218" s="64" t="str">
        <f t="shared" si="79"/>
        <v>Mar 2019</v>
      </c>
      <c r="D218" s="23" t="s">
        <v>175</v>
      </c>
      <c r="E218" s="23" t="s">
        <v>44</v>
      </c>
      <c r="F218" s="23" t="s">
        <v>153</v>
      </c>
      <c r="G218" s="64" t="str">
        <f t="shared" si="81"/>
        <v>Jan</v>
      </c>
      <c r="H218" s="64" t="str">
        <f t="shared" si="82"/>
        <v>01</v>
      </c>
      <c r="I218" s="64">
        <f t="shared" si="80"/>
        <v>2019</v>
      </c>
      <c r="J218" s="23" t="s">
        <v>39</v>
      </c>
      <c r="K218" s="39" t="s">
        <v>82</v>
      </c>
    </row>
    <row r="219" spans="1:12" s="39" customFormat="1" ht="15" customHeight="1" x14ac:dyDescent="0.4">
      <c r="A219" s="37" t="str">
        <f t="array" ref="A219">TEXT(WORKDAY(DATE($B$1,4,25)-1,1,IF('Holiday (Dates to Exclude)'!$D:$D=VLOOKUP($F219,'Holiday (Dates to Exclude)'!$A:$B,2,0),'Holiday (Dates to Exclude)'!$E:$E,)),"MM/DD/YY")</f>
        <v>04/25/19</v>
      </c>
      <c r="B219" s="64" t="str">
        <f t="shared" si="78"/>
        <v>Thu</v>
      </c>
      <c r="C219" s="64" t="str">
        <f t="shared" si="79"/>
        <v>Apr 2019</v>
      </c>
      <c r="D219" s="23" t="s">
        <v>175</v>
      </c>
      <c r="E219" s="23" t="s">
        <v>44</v>
      </c>
      <c r="F219" s="23" t="s">
        <v>153</v>
      </c>
      <c r="G219" s="64" t="str">
        <f t="shared" si="81"/>
        <v>Feb</v>
      </c>
      <c r="H219" s="64" t="str">
        <f t="shared" si="82"/>
        <v>02</v>
      </c>
      <c r="I219" s="64">
        <f t="shared" si="80"/>
        <v>2019</v>
      </c>
      <c r="J219" s="23" t="s">
        <v>39</v>
      </c>
      <c r="K219" s="39" t="s">
        <v>82</v>
      </c>
    </row>
    <row r="220" spans="1:12" s="39" customFormat="1" ht="15" customHeight="1" x14ac:dyDescent="0.4">
      <c r="A220" s="37" t="str">
        <f t="array" ref="A220">TEXT(WORKDAY(DATE($B$1,5,25)-1,1,IF('Holiday (Dates to Exclude)'!$D:$D=VLOOKUP($F220,'Holiday (Dates to Exclude)'!$A:$B,2,0),'Holiday (Dates to Exclude)'!$E:$E,)),"MM/DD/YY")</f>
        <v>05/27/19</v>
      </c>
      <c r="B220" s="64" t="str">
        <f t="shared" si="78"/>
        <v>Mon</v>
      </c>
      <c r="C220" s="64" t="str">
        <f t="shared" si="79"/>
        <v>May 2019</v>
      </c>
      <c r="D220" s="23" t="s">
        <v>175</v>
      </c>
      <c r="E220" s="23" t="s">
        <v>44</v>
      </c>
      <c r="F220" s="23" t="s">
        <v>153</v>
      </c>
      <c r="G220" s="64" t="str">
        <f t="shared" si="81"/>
        <v>Mar</v>
      </c>
      <c r="H220" s="64" t="str">
        <f t="shared" si="82"/>
        <v>03</v>
      </c>
      <c r="I220" s="64">
        <f t="shared" si="80"/>
        <v>2019</v>
      </c>
      <c r="J220" s="23" t="s">
        <v>39</v>
      </c>
      <c r="K220" s="39" t="s">
        <v>82</v>
      </c>
    </row>
    <row r="221" spans="1:12" s="39" customFormat="1" ht="15" customHeight="1" x14ac:dyDescent="0.4">
      <c r="A221" s="37" t="str">
        <f t="array" ref="A221">TEXT(WORKDAY(DATE($B$1,6,25)-1,1,IF('Holiday (Dates to Exclude)'!$D:$D=VLOOKUP($F221,'Holiday (Dates to Exclude)'!$A:$B,2,0),'Holiday (Dates to Exclude)'!$E:$E,)),"MM/DD/YY")</f>
        <v>06/25/19</v>
      </c>
      <c r="B221" s="64" t="str">
        <f t="shared" si="78"/>
        <v>Tue</v>
      </c>
      <c r="C221" s="64" t="str">
        <f t="shared" si="79"/>
        <v>Jun 2019</v>
      </c>
      <c r="D221" s="23" t="s">
        <v>175</v>
      </c>
      <c r="E221" s="23" t="s">
        <v>44</v>
      </c>
      <c r="F221" s="23" t="s">
        <v>153</v>
      </c>
      <c r="G221" s="64" t="str">
        <f t="shared" si="81"/>
        <v>Apr</v>
      </c>
      <c r="H221" s="64" t="str">
        <f t="shared" si="82"/>
        <v>04</v>
      </c>
      <c r="I221" s="64">
        <f t="shared" si="80"/>
        <v>2019</v>
      </c>
      <c r="J221" s="23" t="s">
        <v>39</v>
      </c>
      <c r="K221" s="39" t="s">
        <v>82</v>
      </c>
    </row>
    <row r="222" spans="1:12" s="39" customFormat="1" ht="15" customHeight="1" x14ac:dyDescent="0.4">
      <c r="A222" s="37" t="str">
        <f t="array" ref="A222">TEXT(WORKDAY(DATE($B$1,7,25)-1,1,IF('Holiday (Dates to Exclude)'!$D:$D=VLOOKUP($F222,'Holiday (Dates to Exclude)'!$A:$B,2,0),'Holiday (Dates to Exclude)'!$E:$E,)),"MM/DD/YY")</f>
        <v>07/25/19</v>
      </c>
      <c r="B222" s="64" t="str">
        <f t="shared" si="78"/>
        <v>Thu</v>
      </c>
      <c r="C222" s="64" t="str">
        <f t="shared" si="79"/>
        <v>Jul 2019</v>
      </c>
      <c r="D222" s="23" t="s">
        <v>175</v>
      </c>
      <c r="E222" s="23" t="s">
        <v>44</v>
      </c>
      <c r="F222" s="23" t="s">
        <v>153</v>
      </c>
      <c r="G222" s="64" t="str">
        <f t="shared" si="81"/>
        <v>May</v>
      </c>
      <c r="H222" s="64" t="str">
        <f t="shared" si="82"/>
        <v>05</v>
      </c>
      <c r="I222" s="64">
        <f t="shared" si="80"/>
        <v>2019</v>
      </c>
      <c r="J222" s="23" t="s">
        <v>39</v>
      </c>
      <c r="K222" s="39" t="s">
        <v>82</v>
      </c>
      <c r="L222" s="34"/>
    </row>
    <row r="223" spans="1:12" s="39" customFormat="1" ht="15" customHeight="1" x14ac:dyDescent="0.4">
      <c r="A223" s="37" t="str">
        <f t="array" ref="A223">TEXT(WORKDAY(DATE($B$1,8,25)-1,1,IF('Holiday (Dates to Exclude)'!$D:$D=VLOOKUP($F223,'Holiday (Dates to Exclude)'!$A:$B,2,0),'Holiday (Dates to Exclude)'!$E:$E,)),"MM/DD/YY")</f>
        <v>08/26/19</v>
      </c>
      <c r="B223" s="64" t="str">
        <f t="shared" si="78"/>
        <v>Mon</v>
      </c>
      <c r="C223" s="64" t="str">
        <f t="shared" si="79"/>
        <v>Aug 2019</v>
      </c>
      <c r="D223" s="23" t="s">
        <v>175</v>
      </c>
      <c r="E223" s="23" t="s">
        <v>44</v>
      </c>
      <c r="F223" s="23" t="s">
        <v>153</v>
      </c>
      <c r="G223" s="64" t="str">
        <f t="shared" si="81"/>
        <v>Jun</v>
      </c>
      <c r="H223" s="64" t="str">
        <f t="shared" si="82"/>
        <v>06</v>
      </c>
      <c r="I223" s="64">
        <f t="shared" si="80"/>
        <v>2019</v>
      </c>
      <c r="J223" s="23" t="s">
        <v>39</v>
      </c>
      <c r="K223" s="39" t="s">
        <v>82</v>
      </c>
    </row>
    <row r="224" spans="1:12" s="39" customFormat="1" ht="15" customHeight="1" x14ac:dyDescent="0.4">
      <c r="A224" s="37" t="str">
        <f t="array" ref="A224">TEXT(WORKDAY(DATE($B$1,9,25)-1,1,IF('Holiday (Dates to Exclude)'!$D:$D=VLOOKUP($F224,'Holiday (Dates to Exclude)'!$A:$B,2,0),'Holiday (Dates to Exclude)'!$E:$E,)),"MM/DD/YY")</f>
        <v>09/25/19</v>
      </c>
      <c r="B224" s="64" t="str">
        <f t="shared" si="78"/>
        <v>Wed</v>
      </c>
      <c r="C224" s="64" t="str">
        <f t="shared" si="79"/>
        <v>Sep 2019</v>
      </c>
      <c r="D224" s="23" t="s">
        <v>175</v>
      </c>
      <c r="E224" s="23" t="s">
        <v>44</v>
      </c>
      <c r="F224" s="23" t="s">
        <v>153</v>
      </c>
      <c r="G224" s="64" t="str">
        <f t="shared" si="81"/>
        <v>Jul</v>
      </c>
      <c r="H224" s="64" t="str">
        <f t="shared" si="82"/>
        <v>07</v>
      </c>
      <c r="I224" s="64">
        <f t="shared" si="80"/>
        <v>2019</v>
      </c>
      <c r="J224" s="23" t="s">
        <v>39</v>
      </c>
      <c r="K224" s="39" t="s">
        <v>82</v>
      </c>
    </row>
    <row r="225" spans="1:12" s="39" customFormat="1" ht="15" customHeight="1" x14ac:dyDescent="0.4">
      <c r="A225" s="37" t="str">
        <f t="array" ref="A225">TEXT(WORKDAY(DATE($B$1,10,25)-1,1,IF('Holiday (Dates to Exclude)'!$D:$D=VLOOKUP($F225,'Holiday (Dates to Exclude)'!$A:$B,2,0),'Holiday (Dates to Exclude)'!$E:$E,)),"MM/DD/YY")</f>
        <v>10/25/19</v>
      </c>
      <c r="B225" s="64" t="str">
        <f t="shared" si="78"/>
        <v>Fri</v>
      </c>
      <c r="C225" s="64" t="str">
        <f t="shared" si="79"/>
        <v>Oct 2019</v>
      </c>
      <c r="D225" s="23" t="s">
        <v>175</v>
      </c>
      <c r="E225" s="23" t="s">
        <v>44</v>
      </c>
      <c r="F225" s="23" t="s">
        <v>153</v>
      </c>
      <c r="G225" s="64" t="str">
        <f t="shared" si="81"/>
        <v>Aug</v>
      </c>
      <c r="H225" s="64" t="str">
        <f t="shared" si="82"/>
        <v>08</v>
      </c>
      <c r="I225" s="64">
        <f t="shared" si="80"/>
        <v>2019</v>
      </c>
      <c r="J225" s="23" t="s">
        <v>39</v>
      </c>
      <c r="K225" s="39" t="s">
        <v>82</v>
      </c>
    </row>
    <row r="226" spans="1:12" s="39" customFormat="1" ht="15" customHeight="1" x14ac:dyDescent="0.4">
      <c r="A226" s="37" t="str">
        <f t="array" ref="A226">TEXT(WORKDAY(DATE($B$1,11,25)-1,1,IF('Holiday (Dates to Exclude)'!$D:$D=VLOOKUP($F226,'Holiday (Dates to Exclude)'!$A:$B,2,0),'Holiday (Dates to Exclude)'!$E:$E,)),"MM/DD/YY")</f>
        <v>11/25/19</v>
      </c>
      <c r="B226" s="64" t="str">
        <f t="shared" si="78"/>
        <v>Mon</v>
      </c>
      <c r="C226" s="64" t="str">
        <f t="shared" si="79"/>
        <v>Nov 2019</v>
      </c>
      <c r="D226" s="23" t="s">
        <v>175</v>
      </c>
      <c r="E226" s="23" t="s">
        <v>44</v>
      </c>
      <c r="F226" s="23" t="s">
        <v>153</v>
      </c>
      <c r="G226" s="64" t="str">
        <f t="shared" si="81"/>
        <v>Sep</v>
      </c>
      <c r="H226" s="64" t="str">
        <f t="shared" si="82"/>
        <v>09</v>
      </c>
      <c r="I226" s="64">
        <f t="shared" si="80"/>
        <v>2019</v>
      </c>
      <c r="J226" s="23" t="s">
        <v>39</v>
      </c>
      <c r="K226" s="39" t="s">
        <v>82</v>
      </c>
    </row>
    <row r="227" spans="1:12" s="39" customFormat="1" ht="15" customHeight="1" x14ac:dyDescent="0.4">
      <c r="A227" s="37" t="str">
        <f t="array" ref="A227">TEXT(WORKDAY(DATE($B$1,12,25)-1,1,IF('Holiday (Dates to Exclude)'!$D:$D=VLOOKUP($F227,'Holiday (Dates to Exclude)'!$A:$B,2,0),'Holiday (Dates to Exclude)'!$E:$E,)),"MM/DD/YY")</f>
        <v>12/25/19</v>
      </c>
      <c r="B227" s="64" t="str">
        <f t="shared" si="78"/>
        <v>Wed</v>
      </c>
      <c r="C227" s="64" t="str">
        <f t="shared" si="79"/>
        <v>Dec 2019</v>
      </c>
      <c r="D227" s="23" t="s">
        <v>175</v>
      </c>
      <c r="E227" s="23" t="s">
        <v>44</v>
      </c>
      <c r="F227" s="23" t="s">
        <v>153</v>
      </c>
      <c r="G227" s="64" t="str">
        <f t="shared" si="81"/>
        <v>Oct</v>
      </c>
      <c r="H227" s="64" t="str">
        <f t="shared" si="82"/>
        <v>10</v>
      </c>
      <c r="I227" s="64">
        <f t="shared" si="80"/>
        <v>2019</v>
      </c>
      <c r="J227" s="23" t="s">
        <v>39</v>
      </c>
      <c r="K227" s="39" t="s">
        <v>82</v>
      </c>
    </row>
    <row r="228" spans="1:12" s="39" customFormat="1" ht="15" customHeight="1" x14ac:dyDescent="0.4">
      <c r="A228" s="37"/>
      <c r="B228" s="64"/>
      <c r="C228" s="64"/>
      <c r="D228" s="23"/>
      <c r="E228" s="23"/>
      <c r="F228" s="23"/>
      <c r="G228" s="64"/>
      <c r="H228" s="64"/>
      <c r="I228" s="64"/>
      <c r="J228" s="23"/>
    </row>
    <row r="229" spans="1:12" s="34" customFormat="1" ht="15" customHeight="1" x14ac:dyDescent="0.4">
      <c r="A229" s="35" t="s">
        <v>107</v>
      </c>
      <c r="B229" s="36"/>
      <c r="C229" s="36"/>
      <c r="D229" s="35"/>
      <c r="E229" s="35"/>
      <c r="F229" s="35"/>
      <c r="G229" s="35"/>
      <c r="H229" s="35"/>
      <c r="I229" s="35"/>
      <c r="J229" s="35"/>
      <c r="K229" s="39"/>
    </row>
    <row r="230" spans="1:12" s="39" customFormat="1" ht="15" customHeight="1" x14ac:dyDescent="0.4">
      <c r="A230" s="37" t="str">
        <f>TEXT(WORKDAY(DATE($B$1,1,8)-1,1,IF('Holiday (Dates to Exclude)'!$D:$D=VLOOKUP($F230,'Holiday (Dates to Exclude)'!$A:$B,2,0),'Holiday (Dates to Exclude)'!$E:$E,)),"MM/DD/YY")</f>
        <v>01/08/19</v>
      </c>
      <c r="B230" s="64" t="str">
        <f t="shared" ref="B230:B241" si="83">TEXT($A230,"DDD")</f>
        <v>Tue</v>
      </c>
      <c r="C230" s="64" t="str">
        <f t="shared" ref="C230:C241" si="84">TEXT(A230,"MMM YYYY")</f>
        <v>Jan 2019</v>
      </c>
      <c r="D230" s="67" t="s">
        <v>176</v>
      </c>
      <c r="E230" s="67" t="s">
        <v>44</v>
      </c>
      <c r="F230" s="23" t="s">
        <v>162</v>
      </c>
      <c r="G230" s="23" t="s">
        <v>68</v>
      </c>
      <c r="H230" s="23" t="s">
        <v>69</v>
      </c>
      <c r="I230" s="64">
        <f t="shared" ref="I230:I241" si="85">YEAR(A230)</f>
        <v>2019</v>
      </c>
      <c r="J230" s="23" t="s">
        <v>73</v>
      </c>
      <c r="L230" s="34"/>
    </row>
    <row r="231" spans="1:12" s="39" customFormat="1" ht="15" customHeight="1" x14ac:dyDescent="0.4">
      <c r="A231" s="37" t="str">
        <f t="array" ref="A231">TEXT(WORKDAY(DATE($B$1,2,8)-1,1,IF('Holiday (Dates to Exclude)'!$D:$D=VLOOKUP($F231,'Holiday (Dates to Exclude)'!$A:$B,2,0),'Holiday (Dates to Exclude)'!$E:$E,)),"MM/DD/YY")</f>
        <v>02/08/19</v>
      </c>
      <c r="B231" s="64" t="str">
        <f t="shared" si="83"/>
        <v>Fri</v>
      </c>
      <c r="C231" s="64" t="str">
        <f t="shared" si="84"/>
        <v>Feb 2019</v>
      </c>
      <c r="D231" s="67" t="s">
        <v>176</v>
      </c>
      <c r="E231" s="67" t="s">
        <v>44</v>
      </c>
      <c r="F231" s="23" t="s">
        <v>162</v>
      </c>
      <c r="G231" s="23" t="s">
        <v>68</v>
      </c>
      <c r="H231" s="23" t="s">
        <v>69</v>
      </c>
      <c r="I231" s="64">
        <f t="shared" si="85"/>
        <v>2019</v>
      </c>
      <c r="J231" s="23" t="s">
        <v>73</v>
      </c>
    </row>
    <row r="232" spans="1:12" s="39" customFormat="1" ht="15" customHeight="1" x14ac:dyDescent="0.4">
      <c r="A232" s="37" t="str">
        <f t="array" ref="A232">TEXT(WORKDAY(DATE($B$1,3,8)-1,1,IF('Holiday (Dates to Exclude)'!$D:$D=VLOOKUP($F232,'Holiday (Dates to Exclude)'!$A:$B,2,0),'Holiday (Dates to Exclude)'!$E:$E,)),"MM/DD/YY")</f>
        <v>03/08/19</v>
      </c>
      <c r="B232" s="64" t="str">
        <f t="shared" si="83"/>
        <v>Fri</v>
      </c>
      <c r="C232" s="64" t="str">
        <f t="shared" si="84"/>
        <v>Mar 2019</v>
      </c>
      <c r="D232" s="67" t="s">
        <v>176</v>
      </c>
      <c r="E232" s="67" t="s">
        <v>44</v>
      </c>
      <c r="F232" s="23" t="s">
        <v>162</v>
      </c>
      <c r="G232" s="23" t="s">
        <v>68</v>
      </c>
      <c r="H232" s="23" t="s">
        <v>69</v>
      </c>
      <c r="I232" s="64">
        <f t="shared" si="85"/>
        <v>2019</v>
      </c>
      <c r="J232" s="23" t="s">
        <v>73</v>
      </c>
    </row>
    <row r="233" spans="1:12" s="39" customFormat="1" ht="15" customHeight="1" x14ac:dyDescent="0.4">
      <c r="A233" s="37" t="str">
        <f t="array" ref="A233">TEXT(WORKDAY(DATE($B$1,4,8)-1,1,IF('Holiday (Dates to Exclude)'!$D:$D=VLOOKUP($F233,'Holiday (Dates to Exclude)'!$A:$B,2,0),'Holiday (Dates to Exclude)'!$E:$E,)),"MM/DD/YY")</f>
        <v>04/08/19</v>
      </c>
      <c r="B233" s="64" t="str">
        <f t="shared" si="83"/>
        <v>Mon</v>
      </c>
      <c r="C233" s="64" t="str">
        <f t="shared" si="84"/>
        <v>Apr 2019</v>
      </c>
      <c r="D233" s="67" t="s">
        <v>176</v>
      </c>
      <c r="E233" s="67" t="s">
        <v>44</v>
      </c>
      <c r="F233" s="23" t="s">
        <v>162</v>
      </c>
      <c r="G233" s="23" t="s">
        <v>68</v>
      </c>
      <c r="H233" s="23" t="s">
        <v>69</v>
      </c>
      <c r="I233" s="64">
        <f t="shared" si="85"/>
        <v>2019</v>
      </c>
      <c r="J233" s="23" t="s">
        <v>73</v>
      </c>
    </row>
    <row r="234" spans="1:12" s="39" customFormat="1" ht="15" customHeight="1" x14ac:dyDescent="0.4">
      <c r="A234" s="37" t="str">
        <f t="array" ref="A234">TEXT(WORKDAY(DATE($B$1,5,8)-1,1,IF('Holiday (Dates to Exclude)'!$D:$D=VLOOKUP($F234,'Holiday (Dates to Exclude)'!$A:$B,2,0),'Holiday (Dates to Exclude)'!$E:$E,)),"MM/DD/YY")</f>
        <v>05/08/19</v>
      </c>
      <c r="B234" s="64" t="str">
        <f t="shared" si="83"/>
        <v>Wed</v>
      </c>
      <c r="C234" s="64" t="str">
        <f t="shared" si="84"/>
        <v>May 2019</v>
      </c>
      <c r="D234" s="67" t="s">
        <v>176</v>
      </c>
      <c r="E234" s="67" t="s">
        <v>44</v>
      </c>
      <c r="F234" s="23" t="s">
        <v>162</v>
      </c>
      <c r="G234" s="23" t="s">
        <v>68</v>
      </c>
      <c r="H234" s="23" t="s">
        <v>69</v>
      </c>
      <c r="I234" s="64">
        <f t="shared" si="85"/>
        <v>2019</v>
      </c>
      <c r="J234" s="23" t="s">
        <v>73</v>
      </c>
    </row>
    <row r="235" spans="1:12" s="39" customFormat="1" ht="15" customHeight="1" x14ac:dyDescent="0.4">
      <c r="A235" s="37" t="str">
        <f t="array" ref="A235">TEXT(WORKDAY(DATE($B$1,6,8)-1,1,IF('Holiday (Dates to Exclude)'!$D:$D=VLOOKUP($F235,'Holiday (Dates to Exclude)'!$A:$B,2,0),'Holiday (Dates to Exclude)'!$E:$E,)),"MM/DD/YY")</f>
        <v>06/10/19</v>
      </c>
      <c r="B235" s="64" t="str">
        <f t="shared" si="83"/>
        <v>Mon</v>
      </c>
      <c r="C235" s="64" t="str">
        <f t="shared" si="84"/>
        <v>Jun 2019</v>
      </c>
      <c r="D235" s="67" t="s">
        <v>176</v>
      </c>
      <c r="E235" s="67" t="s">
        <v>44</v>
      </c>
      <c r="F235" s="23" t="s">
        <v>162</v>
      </c>
      <c r="G235" s="23" t="s">
        <v>68</v>
      </c>
      <c r="H235" s="23" t="s">
        <v>69</v>
      </c>
      <c r="I235" s="64">
        <f t="shared" si="85"/>
        <v>2019</v>
      </c>
      <c r="J235" s="23" t="s">
        <v>73</v>
      </c>
    </row>
    <row r="236" spans="1:12" s="39" customFormat="1" ht="15" customHeight="1" x14ac:dyDescent="0.4">
      <c r="A236" s="37" t="str">
        <f t="array" ref="A236">TEXT(WORKDAY(DATE($B$1,7,8)-1,1,IF('Holiday (Dates to Exclude)'!$D:$D=VLOOKUP($F236,'Holiday (Dates to Exclude)'!$A:$B,2,0),'Holiday (Dates to Exclude)'!$E:$E,)),"MM/DD/YY")</f>
        <v>07/08/19</v>
      </c>
      <c r="B236" s="64" t="str">
        <f t="shared" si="83"/>
        <v>Mon</v>
      </c>
      <c r="C236" s="64" t="str">
        <f t="shared" si="84"/>
        <v>Jul 2019</v>
      </c>
      <c r="D236" s="67" t="s">
        <v>176</v>
      </c>
      <c r="E236" s="67" t="s">
        <v>44</v>
      </c>
      <c r="F236" s="23" t="s">
        <v>162</v>
      </c>
      <c r="G236" s="23" t="s">
        <v>68</v>
      </c>
      <c r="H236" s="23" t="s">
        <v>69</v>
      </c>
      <c r="I236" s="64">
        <f t="shared" si="85"/>
        <v>2019</v>
      </c>
      <c r="J236" s="23" t="s">
        <v>73</v>
      </c>
      <c r="L236" s="34"/>
    </row>
    <row r="237" spans="1:12" s="39" customFormat="1" ht="15" customHeight="1" x14ac:dyDescent="0.4">
      <c r="A237" s="37" t="str">
        <f t="array" ref="A237">TEXT(WORKDAY(DATE($B$1,8,8)-1,1,IF('Holiday (Dates to Exclude)'!$D:$D=VLOOKUP($F237,'Holiday (Dates to Exclude)'!$A:$B,2,0),'Holiday (Dates to Exclude)'!$E:$E,)),"MM/DD/YY")</f>
        <v>08/08/19</v>
      </c>
      <c r="B237" s="64" t="str">
        <f t="shared" si="83"/>
        <v>Thu</v>
      </c>
      <c r="C237" s="64" t="str">
        <f t="shared" si="84"/>
        <v>Aug 2019</v>
      </c>
      <c r="D237" s="67" t="s">
        <v>176</v>
      </c>
      <c r="E237" s="67" t="s">
        <v>44</v>
      </c>
      <c r="F237" s="23" t="s">
        <v>162</v>
      </c>
      <c r="G237" s="23" t="s">
        <v>68</v>
      </c>
      <c r="H237" s="23" t="s">
        <v>69</v>
      </c>
      <c r="I237" s="64">
        <f t="shared" si="85"/>
        <v>2019</v>
      </c>
      <c r="J237" s="23" t="s">
        <v>73</v>
      </c>
    </row>
    <row r="238" spans="1:12" s="39" customFormat="1" ht="15" customHeight="1" x14ac:dyDescent="0.4">
      <c r="A238" s="37" t="str">
        <f t="array" ref="A238">TEXT(WORKDAY(DATE($B$1,9,8)-1,1,IF('Holiday (Dates to Exclude)'!$D:$D=VLOOKUP($F238,'Holiday (Dates to Exclude)'!$A:$B,2,0),'Holiday (Dates to Exclude)'!$E:$E,)),"MM/DD/YY")</f>
        <v>09/09/19</v>
      </c>
      <c r="B238" s="64" t="str">
        <f t="shared" si="83"/>
        <v>Mon</v>
      </c>
      <c r="C238" s="64" t="str">
        <f t="shared" si="84"/>
        <v>Sep 2019</v>
      </c>
      <c r="D238" s="67" t="s">
        <v>176</v>
      </c>
      <c r="E238" s="67" t="s">
        <v>44</v>
      </c>
      <c r="F238" s="23" t="s">
        <v>162</v>
      </c>
      <c r="G238" s="23" t="s">
        <v>68</v>
      </c>
      <c r="H238" s="23" t="s">
        <v>69</v>
      </c>
      <c r="I238" s="64">
        <f t="shared" si="85"/>
        <v>2019</v>
      </c>
      <c r="J238" s="23" t="s">
        <v>73</v>
      </c>
    </row>
    <row r="239" spans="1:12" s="39" customFormat="1" ht="15" customHeight="1" x14ac:dyDescent="0.4">
      <c r="A239" s="37" t="str">
        <f t="array" ref="A239">TEXT(WORKDAY(DATE($B$1,10,8)-1,1,IF('Holiday (Dates to Exclude)'!$D:$D=VLOOKUP($F239,'Holiday (Dates to Exclude)'!$A:$B,2,0),'Holiday (Dates to Exclude)'!$E:$E,)),"MM/DD/YY")</f>
        <v>10/08/19</v>
      </c>
      <c r="B239" s="64" t="str">
        <f t="shared" si="83"/>
        <v>Tue</v>
      </c>
      <c r="C239" s="64" t="str">
        <f t="shared" si="84"/>
        <v>Oct 2019</v>
      </c>
      <c r="D239" s="67" t="s">
        <v>176</v>
      </c>
      <c r="E239" s="67" t="s">
        <v>44</v>
      </c>
      <c r="F239" s="23" t="s">
        <v>162</v>
      </c>
      <c r="G239" s="23" t="s">
        <v>68</v>
      </c>
      <c r="H239" s="23" t="s">
        <v>69</v>
      </c>
      <c r="I239" s="64">
        <f t="shared" si="85"/>
        <v>2019</v>
      </c>
      <c r="J239" s="23" t="s">
        <v>73</v>
      </c>
    </row>
    <row r="240" spans="1:12" s="39" customFormat="1" ht="15" customHeight="1" x14ac:dyDescent="0.4">
      <c r="A240" s="37" t="str">
        <f t="array" ref="A240">TEXT(WORKDAY(DATE($B$1,11,8)-1,1,IF('Holiday (Dates to Exclude)'!$D:$D=VLOOKUP($F240,'Holiday (Dates to Exclude)'!$A:$B,2,0),'Holiday (Dates to Exclude)'!$E:$E,)),"MM/DD/YY")</f>
        <v>11/08/19</v>
      </c>
      <c r="B240" s="64" t="str">
        <f t="shared" si="83"/>
        <v>Fri</v>
      </c>
      <c r="C240" s="64" t="str">
        <f t="shared" si="84"/>
        <v>Nov 2019</v>
      </c>
      <c r="D240" s="67" t="s">
        <v>176</v>
      </c>
      <c r="E240" s="67" t="s">
        <v>44</v>
      </c>
      <c r="F240" s="23" t="s">
        <v>162</v>
      </c>
      <c r="G240" s="23" t="s">
        <v>68</v>
      </c>
      <c r="H240" s="23" t="s">
        <v>69</v>
      </c>
      <c r="I240" s="64">
        <f t="shared" si="85"/>
        <v>2019</v>
      </c>
      <c r="J240" s="23" t="s">
        <v>73</v>
      </c>
    </row>
    <row r="241" spans="1:12" s="39" customFormat="1" ht="15" customHeight="1" x14ac:dyDescent="0.4">
      <c r="A241" s="37" t="str">
        <f t="array" ref="A241">TEXT(WORKDAY(DATE($B$1,12,8)-1,1,IF('Holiday (Dates to Exclude)'!$D:$D=VLOOKUP($F241,'Holiday (Dates to Exclude)'!$A:$B,2,0),'Holiday (Dates to Exclude)'!$E:$E,)),"MM/DD/YY")</f>
        <v>12/09/19</v>
      </c>
      <c r="B241" s="64" t="str">
        <f t="shared" si="83"/>
        <v>Mon</v>
      </c>
      <c r="C241" s="64" t="str">
        <f t="shared" si="84"/>
        <v>Dec 2019</v>
      </c>
      <c r="D241" s="67" t="s">
        <v>176</v>
      </c>
      <c r="E241" s="67" t="s">
        <v>44</v>
      </c>
      <c r="F241" s="23" t="s">
        <v>162</v>
      </c>
      <c r="G241" s="23" t="s">
        <v>68</v>
      </c>
      <c r="H241" s="23" t="s">
        <v>69</v>
      </c>
      <c r="I241" s="64">
        <f t="shared" si="85"/>
        <v>2019</v>
      </c>
      <c r="J241" s="23" t="s">
        <v>73</v>
      </c>
    </row>
    <row r="242" spans="1:12" s="39" customFormat="1" ht="15" customHeight="1" x14ac:dyDescent="0.4">
      <c r="A242" s="37"/>
      <c r="B242" s="64"/>
      <c r="C242" s="64"/>
      <c r="D242" s="23"/>
      <c r="E242" s="67"/>
      <c r="F242" s="69"/>
      <c r="G242" s="64"/>
      <c r="H242" s="64"/>
      <c r="I242" s="64"/>
      <c r="J242" s="23"/>
    </row>
    <row r="243" spans="1:12" s="34" customFormat="1" ht="15" customHeight="1" x14ac:dyDescent="0.4">
      <c r="A243" s="35" t="s">
        <v>106</v>
      </c>
      <c r="B243" s="36"/>
      <c r="C243" s="36"/>
      <c r="D243" s="35"/>
      <c r="E243" s="35"/>
      <c r="F243" s="35"/>
      <c r="G243" s="35"/>
      <c r="H243" s="35"/>
      <c r="I243" s="35"/>
      <c r="J243" s="35"/>
      <c r="K243" s="39"/>
    </row>
    <row r="244" spans="1:12" s="39" customFormat="1" ht="15" customHeight="1" x14ac:dyDescent="0.4">
      <c r="A244" s="37" t="str">
        <f>TEXT(WORKDAY(DATE($B$1,1,9)-1,1,IF('Holiday (Dates to Exclude)'!$D:$D=VLOOKUP($F244,'Holiday (Dates to Exclude)'!$A:$B,2,0),'Holiday (Dates to Exclude)'!$E:$E,)),"MM/DD/YY")</f>
        <v>01/09/19</v>
      </c>
      <c r="B244" s="64" t="str">
        <f t="shared" ref="B244:B255" si="86">TEXT($A244,"DDD")</f>
        <v>Wed</v>
      </c>
      <c r="C244" s="64" t="str">
        <f t="shared" ref="C244:C255" si="87">TEXT(A244,"MMM YYYY")</f>
        <v>Jan 2019</v>
      </c>
      <c r="D244" s="23" t="s">
        <v>177</v>
      </c>
      <c r="E244" s="67" t="s">
        <v>44</v>
      </c>
      <c r="F244" s="23" t="s">
        <v>160</v>
      </c>
      <c r="G244" s="64" t="str">
        <f>TEXT(EDATE($A244,-1),"MMM")</f>
        <v>Dec</v>
      </c>
      <c r="H244" s="64" t="str">
        <f>TEXT(EOMONTH($A244,-1),"MM")</f>
        <v>12</v>
      </c>
      <c r="I244" s="64">
        <f t="shared" ref="I244:I255" si="88">YEAR(A244)</f>
        <v>2019</v>
      </c>
      <c r="J244" s="23" t="s">
        <v>108</v>
      </c>
      <c r="L244" s="34"/>
    </row>
    <row r="245" spans="1:12" s="39" customFormat="1" ht="15" customHeight="1" x14ac:dyDescent="0.4">
      <c r="A245" s="37" t="str">
        <f t="array" ref="A245">TEXT(WORKDAY(DATE($B$1,2,9)-1,1,IF('Holiday (Dates to Exclude)'!$D:$D=VLOOKUP($F245,'Holiday (Dates to Exclude)'!$A:$B,2,0),'Holiday (Dates to Exclude)'!$E:$E,)),"MM/DD/YY")</f>
        <v>02/11/19</v>
      </c>
      <c r="B245" s="64" t="str">
        <f t="shared" si="86"/>
        <v>Mon</v>
      </c>
      <c r="C245" s="64" t="str">
        <f t="shared" si="87"/>
        <v>Feb 2019</v>
      </c>
      <c r="D245" s="23" t="s">
        <v>177</v>
      </c>
      <c r="E245" s="67" t="s">
        <v>44</v>
      </c>
      <c r="F245" s="23" t="s">
        <v>160</v>
      </c>
      <c r="G245" s="64" t="str">
        <f t="shared" ref="G245:G255" si="89">TEXT(EDATE($A245,-1),"MMM")</f>
        <v>Jan</v>
      </c>
      <c r="H245" s="64" t="str">
        <f t="shared" ref="H245:H255" si="90">TEXT(EOMONTH($A245,-1),"MM")</f>
        <v>01</v>
      </c>
      <c r="I245" s="64">
        <f t="shared" si="88"/>
        <v>2019</v>
      </c>
      <c r="J245" s="23" t="s">
        <v>108</v>
      </c>
    </row>
    <row r="246" spans="1:12" s="39" customFormat="1" ht="15" customHeight="1" x14ac:dyDescent="0.4">
      <c r="A246" s="37" t="str">
        <f t="array" ref="A246">TEXT(WORKDAY(DATE($B$1,3,9)-1,1,IF('Holiday (Dates to Exclude)'!$D:$D=VLOOKUP($F246,'Holiday (Dates to Exclude)'!$A:$B,2,0),'Holiday (Dates to Exclude)'!$E:$E,)),"MM/DD/YY")</f>
        <v>03/11/19</v>
      </c>
      <c r="B246" s="64" t="str">
        <f t="shared" si="86"/>
        <v>Mon</v>
      </c>
      <c r="C246" s="64" t="str">
        <f t="shared" si="87"/>
        <v>Mar 2019</v>
      </c>
      <c r="D246" s="23" t="s">
        <v>177</v>
      </c>
      <c r="E246" s="67" t="s">
        <v>44</v>
      </c>
      <c r="F246" s="23" t="s">
        <v>160</v>
      </c>
      <c r="G246" s="64" t="str">
        <f t="shared" si="89"/>
        <v>Feb</v>
      </c>
      <c r="H246" s="64" t="str">
        <f t="shared" si="90"/>
        <v>02</v>
      </c>
      <c r="I246" s="64">
        <f t="shared" si="88"/>
        <v>2019</v>
      </c>
      <c r="J246" s="23" t="s">
        <v>108</v>
      </c>
    </row>
    <row r="247" spans="1:12" s="39" customFormat="1" ht="15" customHeight="1" x14ac:dyDescent="0.4">
      <c r="A247" s="37" t="str">
        <f t="array" ref="A247">TEXT(WORKDAY(DATE($B$1,4,9)-1,1,IF('Holiday (Dates to Exclude)'!$D:$D=VLOOKUP($F247,'Holiday (Dates to Exclude)'!$A:$B,2,0),'Holiday (Dates to Exclude)'!$E:$E,)),"MM/DD/YY")</f>
        <v>04/09/19</v>
      </c>
      <c r="B247" s="64" t="str">
        <f t="shared" si="86"/>
        <v>Tue</v>
      </c>
      <c r="C247" s="64" t="str">
        <f t="shared" si="87"/>
        <v>Apr 2019</v>
      </c>
      <c r="D247" s="23" t="s">
        <v>177</v>
      </c>
      <c r="E247" s="67" t="s">
        <v>44</v>
      </c>
      <c r="F247" s="23" t="s">
        <v>160</v>
      </c>
      <c r="G247" s="64" t="str">
        <f t="shared" si="89"/>
        <v>Mar</v>
      </c>
      <c r="H247" s="64" t="str">
        <f t="shared" si="90"/>
        <v>03</v>
      </c>
      <c r="I247" s="64">
        <f t="shared" si="88"/>
        <v>2019</v>
      </c>
      <c r="J247" s="23" t="s">
        <v>108</v>
      </c>
    </row>
    <row r="248" spans="1:12" s="39" customFormat="1" ht="15" customHeight="1" x14ac:dyDescent="0.4">
      <c r="A248" s="37" t="str">
        <f t="array" ref="A248">TEXT(WORKDAY(DATE($B$1,5,9)-1,1,IF('Holiday (Dates to Exclude)'!$D:$D=VLOOKUP($F248,'Holiday (Dates to Exclude)'!$A:$B,2,0),'Holiday (Dates to Exclude)'!$E:$E,)),"MM/DD/YY")</f>
        <v>05/09/19</v>
      </c>
      <c r="B248" s="64" t="str">
        <f t="shared" si="86"/>
        <v>Thu</v>
      </c>
      <c r="C248" s="64" t="str">
        <f t="shared" si="87"/>
        <v>May 2019</v>
      </c>
      <c r="D248" s="23" t="s">
        <v>177</v>
      </c>
      <c r="E248" s="67" t="s">
        <v>44</v>
      </c>
      <c r="F248" s="23" t="s">
        <v>160</v>
      </c>
      <c r="G248" s="64" t="str">
        <f t="shared" si="89"/>
        <v>Apr</v>
      </c>
      <c r="H248" s="64" t="str">
        <f t="shared" si="90"/>
        <v>04</v>
      </c>
      <c r="I248" s="64">
        <f t="shared" si="88"/>
        <v>2019</v>
      </c>
      <c r="J248" s="23" t="s">
        <v>108</v>
      </c>
    </row>
    <row r="249" spans="1:12" s="39" customFormat="1" ht="15" customHeight="1" x14ac:dyDescent="0.4">
      <c r="A249" s="37" t="str">
        <f t="array" ref="A249">TEXT(WORKDAY(DATE($B$1,6,9)-1,1,IF('Holiday (Dates to Exclude)'!$D:$D=VLOOKUP($F249,'Holiday (Dates to Exclude)'!$A:$B,2,0),'Holiday (Dates to Exclude)'!$E:$E,)),"MM/DD/YY")</f>
        <v>06/10/19</v>
      </c>
      <c r="B249" s="64" t="str">
        <f t="shared" si="86"/>
        <v>Mon</v>
      </c>
      <c r="C249" s="64" t="str">
        <f t="shared" si="87"/>
        <v>Jun 2019</v>
      </c>
      <c r="D249" s="23" t="s">
        <v>177</v>
      </c>
      <c r="E249" s="67" t="s">
        <v>44</v>
      </c>
      <c r="F249" s="23" t="s">
        <v>160</v>
      </c>
      <c r="G249" s="64" t="str">
        <f t="shared" si="89"/>
        <v>May</v>
      </c>
      <c r="H249" s="64" t="str">
        <f t="shared" si="90"/>
        <v>05</v>
      </c>
      <c r="I249" s="64">
        <f t="shared" si="88"/>
        <v>2019</v>
      </c>
      <c r="J249" s="23" t="s">
        <v>108</v>
      </c>
    </row>
    <row r="250" spans="1:12" s="39" customFormat="1" ht="15" customHeight="1" x14ac:dyDescent="0.4">
      <c r="A250" s="37" t="str">
        <f t="array" ref="A250">TEXT(WORKDAY(DATE($B$1,7,9)-1,1,IF('Holiday (Dates to Exclude)'!$D:$D=VLOOKUP($F250,'Holiday (Dates to Exclude)'!$A:$B,2,0),'Holiday (Dates to Exclude)'!$E:$E,)),"MM/DD/YY")</f>
        <v>07/09/19</v>
      </c>
      <c r="B250" s="64" t="str">
        <f t="shared" si="86"/>
        <v>Tue</v>
      </c>
      <c r="C250" s="64" t="str">
        <f t="shared" si="87"/>
        <v>Jul 2019</v>
      </c>
      <c r="D250" s="23" t="s">
        <v>177</v>
      </c>
      <c r="E250" s="67" t="s">
        <v>44</v>
      </c>
      <c r="F250" s="23" t="s">
        <v>160</v>
      </c>
      <c r="G250" s="64" t="str">
        <f t="shared" si="89"/>
        <v>Jun</v>
      </c>
      <c r="H250" s="64" t="str">
        <f t="shared" si="90"/>
        <v>06</v>
      </c>
      <c r="I250" s="64">
        <f t="shared" si="88"/>
        <v>2019</v>
      </c>
      <c r="J250" s="23" t="s">
        <v>108</v>
      </c>
      <c r="L250" s="34"/>
    </row>
    <row r="251" spans="1:12" s="39" customFormat="1" ht="15" customHeight="1" x14ac:dyDescent="0.4">
      <c r="A251" s="37" t="str">
        <f t="array" ref="A251">TEXT(WORKDAY(DATE($B$1,8,9)-1,1,IF('Holiday (Dates to Exclude)'!$D:$D=VLOOKUP($F251,'Holiday (Dates to Exclude)'!$A:$B,2,0),'Holiday (Dates to Exclude)'!$E:$E,)),"MM/DD/YY")</f>
        <v>08/09/19</v>
      </c>
      <c r="B251" s="64" t="str">
        <f t="shared" si="86"/>
        <v>Fri</v>
      </c>
      <c r="C251" s="64" t="str">
        <f t="shared" si="87"/>
        <v>Aug 2019</v>
      </c>
      <c r="D251" s="23" t="s">
        <v>177</v>
      </c>
      <c r="E251" s="67" t="s">
        <v>44</v>
      </c>
      <c r="F251" s="23" t="s">
        <v>160</v>
      </c>
      <c r="G251" s="64" t="str">
        <f t="shared" si="89"/>
        <v>Jul</v>
      </c>
      <c r="H251" s="64" t="str">
        <f t="shared" si="90"/>
        <v>07</v>
      </c>
      <c r="I251" s="64">
        <f t="shared" si="88"/>
        <v>2019</v>
      </c>
      <c r="J251" s="23" t="s">
        <v>108</v>
      </c>
    </row>
    <row r="252" spans="1:12" s="39" customFormat="1" ht="15" customHeight="1" x14ac:dyDescent="0.4">
      <c r="A252" s="37" t="str">
        <f t="array" ref="A252">TEXT(WORKDAY(DATE($B$1,9,9)-1,1,IF('Holiday (Dates to Exclude)'!$D:$D=VLOOKUP($F252,'Holiday (Dates to Exclude)'!$A:$B,2,0),'Holiday (Dates to Exclude)'!$E:$E,)),"MM/DD/YY")</f>
        <v>09/09/19</v>
      </c>
      <c r="B252" s="64" t="str">
        <f t="shared" si="86"/>
        <v>Mon</v>
      </c>
      <c r="C252" s="64" t="str">
        <f t="shared" si="87"/>
        <v>Sep 2019</v>
      </c>
      <c r="D252" s="23" t="s">
        <v>177</v>
      </c>
      <c r="E252" s="67" t="s">
        <v>44</v>
      </c>
      <c r="F252" s="23" t="s">
        <v>160</v>
      </c>
      <c r="G252" s="64" t="str">
        <f t="shared" si="89"/>
        <v>Aug</v>
      </c>
      <c r="H252" s="64" t="str">
        <f t="shared" si="90"/>
        <v>08</v>
      </c>
      <c r="I252" s="64">
        <f t="shared" si="88"/>
        <v>2019</v>
      </c>
      <c r="J252" s="23" t="s">
        <v>108</v>
      </c>
    </row>
    <row r="253" spans="1:12" s="39" customFormat="1" ht="15" customHeight="1" x14ac:dyDescent="0.4">
      <c r="A253" s="37" t="str">
        <f t="array" ref="A253">TEXT(WORKDAY(DATE($B$1,10,9)-1,1,IF('Holiday (Dates to Exclude)'!$D:$D=VLOOKUP($F253,'Holiday (Dates to Exclude)'!$A:$B,2,0),'Holiday (Dates to Exclude)'!$E:$E,)),"MM/DD/YY")</f>
        <v>10/09/19</v>
      </c>
      <c r="B253" s="64" t="str">
        <f t="shared" si="86"/>
        <v>Wed</v>
      </c>
      <c r="C253" s="64" t="str">
        <f t="shared" si="87"/>
        <v>Oct 2019</v>
      </c>
      <c r="D253" s="23" t="s">
        <v>177</v>
      </c>
      <c r="E253" s="67" t="s">
        <v>44</v>
      </c>
      <c r="F253" s="23" t="s">
        <v>160</v>
      </c>
      <c r="G253" s="64" t="str">
        <f t="shared" si="89"/>
        <v>Sep</v>
      </c>
      <c r="H253" s="64" t="str">
        <f t="shared" si="90"/>
        <v>09</v>
      </c>
      <c r="I253" s="64">
        <f t="shared" si="88"/>
        <v>2019</v>
      </c>
      <c r="J253" s="23" t="s">
        <v>108</v>
      </c>
    </row>
    <row r="254" spans="1:12" s="39" customFormat="1" ht="15" customHeight="1" x14ac:dyDescent="0.4">
      <c r="A254" s="37" t="str">
        <f t="array" ref="A254">TEXT(WORKDAY(DATE($B$1,11,9)-1,1,IF('Holiday (Dates to Exclude)'!$D:$D=VLOOKUP($F254,'Holiday (Dates to Exclude)'!$A:$B,2,0),'Holiday (Dates to Exclude)'!$E:$E,)),"MM/DD/YY")</f>
        <v>11/11/19</v>
      </c>
      <c r="B254" s="64" t="str">
        <f t="shared" si="86"/>
        <v>Mon</v>
      </c>
      <c r="C254" s="64" t="str">
        <f t="shared" si="87"/>
        <v>Nov 2019</v>
      </c>
      <c r="D254" s="23" t="s">
        <v>177</v>
      </c>
      <c r="E254" s="67" t="s">
        <v>44</v>
      </c>
      <c r="F254" s="23" t="s">
        <v>160</v>
      </c>
      <c r="G254" s="64" t="str">
        <f t="shared" si="89"/>
        <v>Oct</v>
      </c>
      <c r="H254" s="64" t="str">
        <f t="shared" si="90"/>
        <v>10</v>
      </c>
      <c r="I254" s="64">
        <f t="shared" si="88"/>
        <v>2019</v>
      </c>
      <c r="J254" s="23" t="s">
        <v>108</v>
      </c>
    </row>
    <row r="255" spans="1:12" s="39" customFormat="1" ht="15" customHeight="1" x14ac:dyDescent="0.4">
      <c r="A255" s="37" t="str">
        <f t="array" ref="A255">TEXT(WORKDAY(DATE($B$1,12,9)-1,1,IF('Holiday (Dates to Exclude)'!$D:$D=VLOOKUP($F255,'Holiday (Dates to Exclude)'!$A:$B,2,0),'Holiday (Dates to Exclude)'!$E:$E,)),"MM/DD/YY")</f>
        <v>12/09/19</v>
      </c>
      <c r="B255" s="64" t="str">
        <f t="shared" si="86"/>
        <v>Mon</v>
      </c>
      <c r="C255" s="64" t="str">
        <f t="shared" si="87"/>
        <v>Dec 2019</v>
      </c>
      <c r="D255" s="23" t="s">
        <v>177</v>
      </c>
      <c r="E255" s="67" t="s">
        <v>44</v>
      </c>
      <c r="F255" s="23" t="s">
        <v>160</v>
      </c>
      <c r="G255" s="64" t="str">
        <f t="shared" si="89"/>
        <v>Nov</v>
      </c>
      <c r="H255" s="64" t="str">
        <f t="shared" si="90"/>
        <v>11</v>
      </c>
      <c r="I255" s="64">
        <f t="shared" si="88"/>
        <v>2019</v>
      </c>
      <c r="J255" s="23" t="s">
        <v>108</v>
      </c>
    </row>
    <row r="256" spans="1:12" s="39" customFormat="1" ht="15" customHeight="1" x14ac:dyDescent="0.4">
      <c r="A256" s="37"/>
      <c r="B256" s="64"/>
      <c r="C256" s="64"/>
      <c r="D256" s="23"/>
      <c r="E256" s="67"/>
      <c r="F256" s="69"/>
      <c r="G256" s="64"/>
      <c r="H256" s="64"/>
      <c r="I256" s="64"/>
      <c r="J256" s="23"/>
    </row>
    <row r="257" spans="1:12" s="34" customFormat="1" ht="15" customHeight="1" x14ac:dyDescent="0.4">
      <c r="A257" s="35" t="s">
        <v>100</v>
      </c>
      <c r="B257" s="36"/>
      <c r="C257" s="36"/>
      <c r="D257" s="35"/>
      <c r="E257" s="35"/>
      <c r="F257" s="35"/>
      <c r="G257" s="35"/>
      <c r="H257" s="35"/>
      <c r="I257" s="35"/>
      <c r="J257" s="35"/>
      <c r="L257" s="39" t="s">
        <v>101</v>
      </c>
    </row>
    <row r="258" spans="1:12" s="23" customFormat="1" ht="15" customHeight="1" x14ac:dyDescent="0.4">
      <c r="A258" s="62" t="str">
        <f>TEXT(WORKDAY(CEILING(EOMONTH(DATE($B$1,1,1),0)-2,7)-4-1,1,IF('Holiday (Dates to Exclude)'!$D:$D=VLOOKUP($F258,'Holiday (Dates to Exclude)'!$A:$B,2,0),'Holiday (Dates to Exclude)'!$E:$E,)),"MM/DD/YY")</f>
        <v>01/29/19</v>
      </c>
      <c r="B258" s="63" t="str">
        <f>TEXT(A258,"ddd")</f>
        <v>Tue</v>
      </c>
      <c r="C258" s="64" t="str">
        <f>TEXT($A258,"MMM YYYY")</f>
        <v>Jan 2019</v>
      </c>
      <c r="D258" s="62" t="s">
        <v>170</v>
      </c>
      <c r="E258" s="62" t="s">
        <v>44</v>
      </c>
      <c r="F258" s="65" t="s">
        <v>148</v>
      </c>
      <c r="G258" s="64" t="str">
        <f>TEXT(EDATE($A258,-1),"MMM")</f>
        <v>Dec</v>
      </c>
      <c r="H258" s="64" t="str">
        <f>TEXT(EOMONTH($A258,-1),"MM")</f>
        <v>12</v>
      </c>
      <c r="I258" s="64">
        <f>YEAR(A258)</f>
        <v>2019</v>
      </c>
      <c r="J258" s="65" t="s">
        <v>65</v>
      </c>
      <c r="K258" s="39" t="s">
        <v>82</v>
      </c>
    </row>
    <row r="259" spans="1:12" s="64" customFormat="1" ht="15" customHeight="1" x14ac:dyDescent="0.4">
      <c r="A259" s="62" t="str">
        <f>TEXT(WORKDAY(CEILING(EOMONTH(DATE($B$1,2,1),0)-2,7)-4-1,1,IF('Holiday (Dates to Exclude)'!$D:$D=VLOOKUP($F259,'Holiday (Dates to Exclude)'!$A:$B,2,0),'Holiday (Dates to Exclude)'!$E:$E,)),"MM/DD/YY")</f>
        <v>02/26/19</v>
      </c>
      <c r="B259" s="64" t="str">
        <f>TEXT($A259,"DDD")</f>
        <v>Tue</v>
      </c>
      <c r="C259" s="64" t="str">
        <f>TEXT($A259,"MMM YYYY")</f>
        <v>Feb 2019</v>
      </c>
      <c r="D259" s="62" t="s">
        <v>170</v>
      </c>
      <c r="E259" s="62" t="s">
        <v>44</v>
      </c>
      <c r="F259" s="65" t="s">
        <v>148</v>
      </c>
      <c r="G259" s="64" t="str">
        <f>TEXT(EDATE($A259,-1),"MMM")</f>
        <v>Jan</v>
      </c>
      <c r="H259" s="64" t="str">
        <f>TEXT(EOMONTH($A259,-1),"MM")</f>
        <v>01</v>
      </c>
      <c r="I259" s="64">
        <f>YEAR(A259)</f>
        <v>2019</v>
      </c>
      <c r="J259" s="65" t="s">
        <v>65</v>
      </c>
      <c r="K259" s="39" t="s">
        <v>82</v>
      </c>
    </row>
    <row r="260" spans="1:12" s="64" customFormat="1" ht="15" customHeight="1" x14ac:dyDescent="0.4">
      <c r="A260" s="62" t="str">
        <f>TEXT(WORKDAY(CEILING(EOMONTH(DATE($B$1,3,1),0)-2,7)-4-1,1,IF('Holiday (Dates to Exclude)'!$D:$D=VLOOKUP($F260,'Holiday (Dates to Exclude)'!$A:$B,2,0),'Holiday (Dates to Exclude)'!$E:$E,)),"MM/DD/YY")</f>
        <v>03/26/19</v>
      </c>
      <c r="B260" s="64" t="str">
        <f t="shared" ref="B260:B269" si="91">TEXT($A260,"DDD")</f>
        <v>Tue</v>
      </c>
      <c r="C260" s="64" t="str">
        <f t="shared" ref="C260:C269" si="92">TEXT(A260,"MMM YYYY")</f>
        <v>Mar 2019</v>
      </c>
      <c r="D260" s="62" t="s">
        <v>170</v>
      </c>
      <c r="E260" s="62" t="s">
        <v>44</v>
      </c>
      <c r="F260" s="65" t="s">
        <v>148</v>
      </c>
      <c r="G260" s="64" t="str">
        <f t="shared" ref="G260:G269" si="93">TEXT(EDATE($A260,-1),"MMM")</f>
        <v>Feb</v>
      </c>
      <c r="H260" s="64" t="str">
        <f t="shared" ref="H260:H269" si="94">TEXT(EOMONTH($A260,-1),"MM")</f>
        <v>02</v>
      </c>
      <c r="I260" s="64">
        <f t="shared" ref="I260:I269" si="95">YEAR(A260)</f>
        <v>2019</v>
      </c>
      <c r="J260" s="65" t="s">
        <v>65</v>
      </c>
      <c r="K260" s="39" t="s">
        <v>82</v>
      </c>
    </row>
    <row r="261" spans="1:12" s="64" customFormat="1" ht="15" customHeight="1" x14ac:dyDescent="0.4">
      <c r="A261" s="62" t="str">
        <f>TEXT(WORKDAY(CEILING(EOMONTH(DATE($B$1,4,1),0)-2,7)-4-1,1,IF('Holiday (Dates to Exclude)'!$D:$D=VLOOKUP($F261,'Holiday (Dates to Exclude)'!$A:$B,2,0),'Holiday (Dates to Exclude)'!$E:$E,)),"MM/DD/YY")</f>
        <v>04/30/19</v>
      </c>
      <c r="B261" s="64" t="str">
        <f t="shared" si="91"/>
        <v>Tue</v>
      </c>
      <c r="C261" s="64" t="str">
        <f t="shared" si="92"/>
        <v>Apr 2019</v>
      </c>
      <c r="D261" s="62" t="s">
        <v>170</v>
      </c>
      <c r="E261" s="62" t="s">
        <v>44</v>
      </c>
      <c r="F261" s="65" t="s">
        <v>148</v>
      </c>
      <c r="G261" s="64" t="str">
        <f t="shared" si="93"/>
        <v>Mar</v>
      </c>
      <c r="H261" s="64" t="str">
        <f t="shared" si="94"/>
        <v>03</v>
      </c>
      <c r="I261" s="64">
        <f t="shared" si="95"/>
        <v>2019</v>
      </c>
      <c r="J261" s="65" t="s">
        <v>65</v>
      </c>
      <c r="K261" s="39" t="s">
        <v>82</v>
      </c>
    </row>
    <row r="262" spans="1:12" s="64" customFormat="1" ht="15" customHeight="1" x14ac:dyDescent="0.4">
      <c r="A262" s="62" t="str">
        <f>TEXT(WORKDAY(CEILING(EOMONTH(DATE($B$1,5,1),0)-2,7)-4-1,1,IF('Holiday (Dates to Exclude)'!$D:$D=VLOOKUP($F262,'Holiday (Dates to Exclude)'!$A:$B,2,0),'Holiday (Dates to Exclude)'!$E:$E,)),"MM/DD/YY")</f>
        <v>05/28/19</v>
      </c>
      <c r="B262" s="64" t="str">
        <f t="shared" si="91"/>
        <v>Tue</v>
      </c>
      <c r="C262" s="64" t="str">
        <f t="shared" si="92"/>
        <v>May 2019</v>
      </c>
      <c r="D262" s="62" t="s">
        <v>170</v>
      </c>
      <c r="E262" s="62" t="s">
        <v>44</v>
      </c>
      <c r="F262" s="65" t="s">
        <v>148</v>
      </c>
      <c r="G262" s="64" t="str">
        <f t="shared" si="93"/>
        <v>Apr</v>
      </c>
      <c r="H262" s="64" t="str">
        <f t="shared" si="94"/>
        <v>04</v>
      </c>
      <c r="I262" s="64">
        <f t="shared" si="95"/>
        <v>2019</v>
      </c>
      <c r="J262" s="65" t="s">
        <v>65</v>
      </c>
      <c r="K262" s="39" t="s">
        <v>82</v>
      </c>
    </row>
    <row r="263" spans="1:12" s="64" customFormat="1" ht="15" customHeight="1" x14ac:dyDescent="0.4">
      <c r="A263" s="62" t="str">
        <f>TEXT(WORKDAY(CEILING(EOMONTH(DATE($B$1,6,1),0)-2,7)-4-1,1,IF('Holiday (Dates to Exclude)'!$D:$D=VLOOKUP($F263,'Holiday (Dates to Exclude)'!$A:$B,2,0),'Holiday (Dates to Exclude)'!$E:$E,)),"MM/DD/YY")</f>
        <v>06/25/19</v>
      </c>
      <c r="B263" s="64" t="str">
        <f t="shared" si="91"/>
        <v>Tue</v>
      </c>
      <c r="C263" s="64" t="str">
        <f t="shared" si="92"/>
        <v>Jun 2019</v>
      </c>
      <c r="D263" s="62" t="s">
        <v>170</v>
      </c>
      <c r="E263" s="62" t="s">
        <v>44</v>
      </c>
      <c r="F263" s="65" t="s">
        <v>148</v>
      </c>
      <c r="G263" s="64" t="str">
        <f t="shared" si="93"/>
        <v>May</v>
      </c>
      <c r="H263" s="64" t="str">
        <f t="shared" si="94"/>
        <v>05</v>
      </c>
      <c r="I263" s="64">
        <f t="shared" si="95"/>
        <v>2019</v>
      </c>
      <c r="J263" s="65" t="s">
        <v>65</v>
      </c>
      <c r="K263" s="39" t="s">
        <v>82</v>
      </c>
    </row>
    <row r="264" spans="1:12" s="64" customFormat="1" ht="15" customHeight="1" x14ac:dyDescent="0.4">
      <c r="A264" s="62" t="str">
        <f>TEXT(WORKDAY(CEILING(EOMONTH(DATE($B$1,7,1),0)-2,7)-4-1,1,IF('Holiday (Dates to Exclude)'!$D:$D=VLOOKUP($F264,'Holiday (Dates to Exclude)'!$A:$B,2,0),'Holiday (Dates to Exclude)'!$E:$E,)),"MM/DD/YY")</f>
        <v>07/30/19</v>
      </c>
      <c r="B264" s="64" t="str">
        <f t="shared" si="91"/>
        <v>Tue</v>
      </c>
      <c r="C264" s="64" t="str">
        <f t="shared" si="92"/>
        <v>Jul 2019</v>
      </c>
      <c r="D264" s="62" t="s">
        <v>170</v>
      </c>
      <c r="E264" s="62" t="s">
        <v>44</v>
      </c>
      <c r="F264" s="65" t="s">
        <v>148</v>
      </c>
      <c r="G264" s="64" t="str">
        <f t="shared" si="93"/>
        <v>Jun</v>
      </c>
      <c r="H264" s="64" t="str">
        <f t="shared" si="94"/>
        <v>06</v>
      </c>
      <c r="I264" s="64">
        <f t="shared" si="95"/>
        <v>2019</v>
      </c>
      <c r="J264" s="65" t="s">
        <v>65</v>
      </c>
      <c r="K264" s="39" t="s">
        <v>82</v>
      </c>
    </row>
    <row r="265" spans="1:12" s="64" customFormat="1" ht="15" customHeight="1" x14ac:dyDescent="0.4">
      <c r="A265" s="62" t="str">
        <f>TEXT(WORKDAY(CEILING(EOMONTH(DATE($B$1,8,1),0)-2,7)-4-1,1,IF('Holiday (Dates to Exclude)'!$D:$D=VLOOKUP($F265,'Holiday (Dates to Exclude)'!$A:$B,2,0),'Holiday (Dates to Exclude)'!$E:$E,)),"MM/DD/YY")</f>
        <v>08/27/19</v>
      </c>
      <c r="B265" s="64" t="str">
        <f t="shared" si="91"/>
        <v>Tue</v>
      </c>
      <c r="C265" s="64" t="str">
        <f t="shared" si="92"/>
        <v>Aug 2019</v>
      </c>
      <c r="D265" s="62" t="s">
        <v>170</v>
      </c>
      <c r="E265" s="62" t="s">
        <v>44</v>
      </c>
      <c r="F265" s="65" t="s">
        <v>148</v>
      </c>
      <c r="G265" s="64" t="str">
        <f t="shared" si="93"/>
        <v>Jul</v>
      </c>
      <c r="H265" s="64" t="str">
        <f t="shared" si="94"/>
        <v>07</v>
      </c>
      <c r="I265" s="64">
        <f t="shared" si="95"/>
        <v>2019</v>
      </c>
      <c r="J265" s="65" t="s">
        <v>65</v>
      </c>
      <c r="K265" s="39" t="s">
        <v>82</v>
      </c>
    </row>
    <row r="266" spans="1:12" s="64" customFormat="1" ht="15" customHeight="1" x14ac:dyDescent="0.4">
      <c r="A266" s="62" t="str">
        <f>TEXT(WORKDAY(CEILING(EOMONTH(DATE($B$1,9,1),0)-2,7)-4-1,1,IF('Holiday (Dates to Exclude)'!$D:$D=VLOOKUP($F266,'Holiday (Dates to Exclude)'!$A:$B,2,0),'Holiday (Dates to Exclude)'!$E:$E,)),"MM/DD/YY")</f>
        <v>09/24/19</v>
      </c>
      <c r="B266" s="64" t="str">
        <f t="shared" si="91"/>
        <v>Tue</v>
      </c>
      <c r="C266" s="64" t="str">
        <f t="shared" si="92"/>
        <v>Sep 2019</v>
      </c>
      <c r="D266" s="62" t="s">
        <v>170</v>
      </c>
      <c r="E266" s="62" t="s">
        <v>44</v>
      </c>
      <c r="F266" s="65" t="s">
        <v>148</v>
      </c>
      <c r="G266" s="64" t="str">
        <f t="shared" si="93"/>
        <v>Aug</v>
      </c>
      <c r="H266" s="64" t="str">
        <f t="shared" si="94"/>
        <v>08</v>
      </c>
      <c r="I266" s="64">
        <f t="shared" si="95"/>
        <v>2019</v>
      </c>
      <c r="J266" s="65" t="s">
        <v>65</v>
      </c>
      <c r="K266" s="39" t="s">
        <v>82</v>
      </c>
    </row>
    <row r="267" spans="1:12" s="64" customFormat="1" ht="15" customHeight="1" x14ac:dyDescent="0.4">
      <c r="A267" s="62" t="str">
        <f>TEXT(WORKDAY(CEILING(EOMONTH(DATE($B$1,10,1),0)-2,7)-4-1,1,IF('Holiday (Dates to Exclude)'!$D:$D=VLOOKUP($F267,'Holiday (Dates to Exclude)'!$A:$B,2,0),'Holiday (Dates to Exclude)'!$E:$E,)),"MM/DD/YY")</f>
        <v>10/29/19</v>
      </c>
      <c r="B267" s="64" t="str">
        <f t="shared" si="91"/>
        <v>Tue</v>
      </c>
      <c r="C267" s="64" t="str">
        <f t="shared" si="92"/>
        <v>Oct 2019</v>
      </c>
      <c r="D267" s="62" t="s">
        <v>170</v>
      </c>
      <c r="E267" s="62" t="s">
        <v>44</v>
      </c>
      <c r="F267" s="65" t="s">
        <v>148</v>
      </c>
      <c r="G267" s="64" t="str">
        <f t="shared" si="93"/>
        <v>Sep</v>
      </c>
      <c r="H267" s="64" t="str">
        <f t="shared" si="94"/>
        <v>09</v>
      </c>
      <c r="I267" s="64">
        <f t="shared" si="95"/>
        <v>2019</v>
      </c>
      <c r="J267" s="65" t="s">
        <v>65</v>
      </c>
      <c r="K267" s="39" t="s">
        <v>82</v>
      </c>
    </row>
    <row r="268" spans="1:12" s="64" customFormat="1" ht="15" customHeight="1" x14ac:dyDescent="0.4">
      <c r="A268" s="62" t="str">
        <f>TEXT(WORKDAY(CEILING(EOMONTH(DATE($B$1,11,1),0)-2,7)-4-1,1,IF('Holiday (Dates to Exclude)'!$D:$D=VLOOKUP($F268,'Holiday (Dates to Exclude)'!$A:$B,2,0),'Holiday (Dates to Exclude)'!$E:$E,)),"MM/DD/YY")</f>
        <v>11/26/19</v>
      </c>
      <c r="B268" s="64" t="str">
        <f t="shared" si="91"/>
        <v>Tue</v>
      </c>
      <c r="C268" s="64" t="str">
        <f t="shared" si="92"/>
        <v>Nov 2019</v>
      </c>
      <c r="D268" s="62" t="s">
        <v>170</v>
      </c>
      <c r="E268" s="62" t="s">
        <v>44</v>
      </c>
      <c r="F268" s="65" t="s">
        <v>148</v>
      </c>
      <c r="G268" s="64" t="str">
        <f t="shared" si="93"/>
        <v>Oct</v>
      </c>
      <c r="H268" s="64" t="str">
        <f t="shared" si="94"/>
        <v>10</v>
      </c>
      <c r="I268" s="64">
        <f t="shared" si="95"/>
        <v>2019</v>
      </c>
      <c r="J268" s="65" t="s">
        <v>65</v>
      </c>
      <c r="K268" s="39" t="s">
        <v>82</v>
      </c>
    </row>
    <row r="269" spans="1:12" s="64" customFormat="1" ht="15" customHeight="1" x14ac:dyDescent="0.4">
      <c r="A269" s="62" t="str">
        <f>TEXT(WORKDAY(CEILING(EOMONTH(DATE($B$1,12,1),0)-2,7)-4-1,1,IF('Holiday (Dates to Exclude)'!$D:$D=VLOOKUP($F269,'Holiday (Dates to Exclude)'!$A:$B,2,0),'Holiday (Dates to Exclude)'!$E:$E,)),"MM/DD/YY")</f>
        <v>12/31/19</v>
      </c>
      <c r="B269" s="64" t="str">
        <f t="shared" si="91"/>
        <v>Tue</v>
      </c>
      <c r="C269" s="64" t="str">
        <f t="shared" si="92"/>
        <v>Dec 2019</v>
      </c>
      <c r="D269" s="62" t="s">
        <v>170</v>
      </c>
      <c r="E269" s="62" t="s">
        <v>44</v>
      </c>
      <c r="F269" s="65" t="s">
        <v>148</v>
      </c>
      <c r="G269" s="64" t="str">
        <f t="shared" si="93"/>
        <v>Nov</v>
      </c>
      <c r="H269" s="64" t="str">
        <f t="shared" si="94"/>
        <v>11</v>
      </c>
      <c r="I269" s="64">
        <f t="shared" si="95"/>
        <v>2019</v>
      </c>
      <c r="J269" s="65" t="s">
        <v>65</v>
      </c>
      <c r="K269" s="39" t="s">
        <v>82</v>
      </c>
    </row>
    <row r="270" spans="1:12" s="39" customFormat="1" ht="15" customHeight="1" x14ac:dyDescent="0.4">
      <c r="A270" s="37"/>
      <c r="B270" s="13"/>
      <c r="C270" s="13"/>
      <c r="D270" s="11"/>
      <c r="E270" s="11"/>
      <c r="F270" s="11"/>
      <c r="G270" s="13"/>
      <c r="H270" s="13"/>
      <c r="I270" s="13"/>
      <c r="J270" s="11"/>
    </row>
    <row r="271" spans="1:12" s="13" customFormat="1" ht="15" customHeight="1" x14ac:dyDescent="0.4">
      <c r="A271" s="61"/>
      <c r="K271" s="26"/>
    </row>
    <row r="272" spans="1:12" s="13" customFormat="1" ht="15" customHeight="1" x14ac:dyDescent="0.4">
      <c r="A272" s="40"/>
      <c r="J272" s="41"/>
      <c r="K272" s="26"/>
    </row>
    <row r="273" spans="11:11" s="13" customFormat="1" ht="15" customHeight="1" x14ac:dyDescent="0.4">
      <c r="K273" s="26"/>
    </row>
    <row r="274" spans="11:11" s="13" customFormat="1" ht="15" customHeight="1" x14ac:dyDescent="0.4">
      <c r="K274" s="26"/>
    </row>
    <row r="275" spans="11:11" s="13" customFormat="1" ht="15" customHeight="1" x14ac:dyDescent="0.4">
      <c r="K275" s="26"/>
    </row>
    <row r="276" spans="11:11" s="13" customFormat="1" ht="15" customHeight="1" x14ac:dyDescent="0.4">
      <c r="K276" s="26"/>
    </row>
    <row r="277" spans="11:11" s="13" customFormat="1" ht="15" customHeight="1" x14ac:dyDescent="0.4">
      <c r="K277" s="26"/>
    </row>
    <row r="278" spans="11:11" s="13" customFormat="1" ht="15" customHeight="1" x14ac:dyDescent="0.4">
      <c r="K278" s="26"/>
    </row>
    <row r="279" spans="11:11" s="13" customFormat="1" ht="15" customHeight="1" x14ac:dyDescent="0.4">
      <c r="K279" s="26"/>
    </row>
    <row r="280" spans="11:11" s="13" customFormat="1" ht="15" customHeight="1" x14ac:dyDescent="0.4">
      <c r="K280" s="26"/>
    </row>
    <row r="281" spans="11:11" s="13" customFormat="1" ht="15" customHeight="1" x14ac:dyDescent="0.4">
      <c r="K281" s="26"/>
    </row>
    <row r="282" spans="11:11" s="13" customFormat="1" ht="15" customHeight="1" x14ac:dyDescent="0.4">
      <c r="K282" s="26"/>
    </row>
    <row r="283" spans="11:11" s="13" customFormat="1" ht="15" customHeight="1" x14ac:dyDescent="0.4">
      <c r="K283" s="26"/>
    </row>
    <row r="284" spans="11:11" s="13" customFormat="1" ht="15" customHeight="1" x14ac:dyDescent="0.4">
      <c r="K284" s="26"/>
    </row>
    <row r="285" spans="11:11" s="13" customFormat="1" ht="15" customHeight="1" x14ac:dyDescent="0.4">
      <c r="K285" s="26"/>
    </row>
    <row r="286" spans="11:11" s="13" customFormat="1" ht="15" customHeight="1" x14ac:dyDescent="0.4">
      <c r="K286" s="26"/>
    </row>
    <row r="287" spans="11:11" s="13" customFormat="1" ht="15" customHeight="1" x14ac:dyDescent="0.4">
      <c r="K287" s="26"/>
    </row>
    <row r="288" spans="11:11" s="13" customFormat="1" ht="15" customHeight="1" x14ac:dyDescent="0.4">
      <c r="K288" s="26"/>
    </row>
    <row r="289" spans="11:11" s="13" customFormat="1" ht="15" customHeight="1" x14ac:dyDescent="0.4">
      <c r="K289" s="26"/>
    </row>
    <row r="290" spans="11:11" s="13" customFormat="1" ht="15" customHeight="1" x14ac:dyDescent="0.4">
      <c r="K290" s="26"/>
    </row>
    <row r="291" spans="11:11" s="13" customFormat="1" ht="15" customHeight="1" x14ac:dyDescent="0.4">
      <c r="K291" s="26"/>
    </row>
    <row r="292" spans="11:11" s="13" customFormat="1" ht="15" customHeight="1" x14ac:dyDescent="0.4">
      <c r="K292" s="26"/>
    </row>
  </sheetData>
  <autoFilter ref="A3:J3" xr:uid="{00000000-0009-0000-0000-000003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27"/>
  <sheetViews>
    <sheetView showGridLines="0" workbookViewId="0"/>
  </sheetViews>
  <sheetFormatPr defaultColWidth="9.15234375" defaultRowHeight="15" customHeight="1" x14ac:dyDescent="0.4"/>
  <cols>
    <col min="1" max="1" width="16.15234375" style="7" customWidth="1"/>
    <col min="2" max="2" width="12.53515625" style="7" customWidth="1"/>
    <col min="3" max="3" width="9.15234375" style="23" customWidth="1"/>
    <col min="4" max="4" width="12.53515625" style="7" bestFit="1" customWidth="1"/>
    <col min="5" max="5" width="10.69140625" style="8" bestFit="1" customWidth="1"/>
    <col min="6" max="6" width="9.15234375" style="7"/>
    <col min="7" max="7" width="48.15234375" style="7" bestFit="1" customWidth="1"/>
    <col min="8" max="8" width="9.15234375" style="7" customWidth="1"/>
    <col min="9" max="16384" width="9.15234375" style="7"/>
  </cols>
  <sheetData>
    <row r="1" spans="1:7" ht="15" customHeight="1" x14ac:dyDescent="0.4">
      <c r="A1" s="20" t="s">
        <v>41</v>
      </c>
      <c r="B1" s="20" t="s">
        <v>74</v>
      </c>
      <c r="C1" s="21"/>
      <c r="D1" s="18" t="s">
        <v>74</v>
      </c>
      <c r="E1" s="19" t="s">
        <v>75</v>
      </c>
      <c r="F1" s="18" t="s">
        <v>76</v>
      </c>
      <c r="G1" s="18" t="s">
        <v>77</v>
      </c>
    </row>
    <row r="2" spans="1:7" ht="15" customHeight="1" x14ac:dyDescent="0.4">
      <c r="A2" s="17" t="s">
        <v>144</v>
      </c>
      <c r="B2" t="s">
        <v>33</v>
      </c>
      <c r="C2" s="22"/>
      <c r="D2" t="s">
        <v>33</v>
      </c>
      <c r="E2" s="15">
        <v>42727</v>
      </c>
      <c r="F2" s="16" t="s">
        <v>3</v>
      </c>
      <c r="G2" s="12" t="s">
        <v>53</v>
      </c>
    </row>
    <row r="3" spans="1:7" ht="15" customHeight="1" x14ac:dyDescent="0.4">
      <c r="A3" t="s">
        <v>145</v>
      </c>
      <c r="B3" t="s">
        <v>33</v>
      </c>
      <c r="C3" s="13"/>
      <c r="D3" t="s">
        <v>33</v>
      </c>
      <c r="E3" s="2">
        <v>42730</v>
      </c>
      <c r="F3" s="3" t="s">
        <v>1</v>
      </c>
      <c r="G3" s="4" t="s">
        <v>29</v>
      </c>
    </row>
    <row r="4" spans="1:7" ht="15" customHeight="1" x14ac:dyDescent="0.4">
      <c r="A4" t="s">
        <v>146</v>
      </c>
      <c r="B4" t="s">
        <v>33</v>
      </c>
      <c r="C4" s="13"/>
      <c r="D4" t="s">
        <v>33</v>
      </c>
      <c r="E4" s="2">
        <v>42734</v>
      </c>
      <c r="F4" s="3" t="s">
        <v>3</v>
      </c>
      <c r="G4" s="4" t="s">
        <v>54</v>
      </c>
    </row>
    <row r="5" spans="1:7" ht="15" customHeight="1" x14ac:dyDescent="0.4">
      <c r="A5" t="s">
        <v>147</v>
      </c>
      <c r="B5" t="s">
        <v>33</v>
      </c>
      <c r="C5" s="13"/>
      <c r="D5" t="s">
        <v>33</v>
      </c>
      <c r="E5" s="5">
        <v>42736</v>
      </c>
      <c r="F5" s="6" t="str">
        <f t="shared" ref="F5:F16" si="0">TEXT(E5,"ddd")</f>
        <v>Sun</v>
      </c>
      <c r="G5" s="4" t="s">
        <v>17</v>
      </c>
    </row>
    <row r="6" spans="1:7" ht="15" customHeight="1" x14ac:dyDescent="0.4">
      <c r="A6" t="s">
        <v>148</v>
      </c>
      <c r="B6" t="s">
        <v>33</v>
      </c>
      <c r="C6" s="13"/>
      <c r="D6" t="s">
        <v>33</v>
      </c>
      <c r="E6" s="5">
        <v>42737</v>
      </c>
      <c r="F6" s="6" t="str">
        <f t="shared" si="0"/>
        <v>Mon</v>
      </c>
      <c r="G6" s="4" t="s">
        <v>28</v>
      </c>
    </row>
    <row r="7" spans="1:7" ht="15" customHeight="1" x14ac:dyDescent="0.4">
      <c r="A7" t="s">
        <v>149</v>
      </c>
      <c r="B7" t="s">
        <v>33</v>
      </c>
      <c r="C7" s="13"/>
      <c r="D7" t="s">
        <v>33</v>
      </c>
      <c r="E7" s="9">
        <v>42751</v>
      </c>
      <c r="F7" s="10" t="str">
        <f t="shared" si="0"/>
        <v>Mon</v>
      </c>
      <c r="G7" s="11" t="s">
        <v>18</v>
      </c>
    </row>
    <row r="8" spans="1:7" ht="15" customHeight="1" x14ac:dyDescent="0.4">
      <c r="A8" t="s">
        <v>150</v>
      </c>
      <c r="B8" t="s">
        <v>33</v>
      </c>
      <c r="C8" s="13"/>
      <c r="D8" t="s">
        <v>33</v>
      </c>
      <c r="E8" s="5">
        <v>42786</v>
      </c>
      <c r="F8" s="6" t="str">
        <f t="shared" si="0"/>
        <v>Mon</v>
      </c>
      <c r="G8" s="4" t="s">
        <v>19</v>
      </c>
    </row>
    <row r="9" spans="1:7" ht="15" customHeight="1" x14ac:dyDescent="0.4">
      <c r="A9" t="s">
        <v>151</v>
      </c>
      <c r="B9" t="s">
        <v>33</v>
      </c>
      <c r="C9" s="13"/>
      <c r="D9" t="s">
        <v>33</v>
      </c>
      <c r="E9" s="5">
        <v>42884</v>
      </c>
      <c r="F9" s="6" t="str">
        <f t="shared" si="0"/>
        <v>Mon</v>
      </c>
      <c r="G9" s="4" t="s">
        <v>20</v>
      </c>
    </row>
    <row r="10" spans="1:7" s="23" customFormat="1" ht="15" customHeight="1" x14ac:dyDescent="0.4">
      <c r="A10" s="13" t="s">
        <v>152</v>
      </c>
      <c r="B10" t="s">
        <v>33</v>
      </c>
      <c r="C10" s="13"/>
      <c r="D10" t="s">
        <v>33</v>
      </c>
      <c r="E10" s="5">
        <v>42919</v>
      </c>
      <c r="F10" s="6" t="str">
        <f t="shared" si="0"/>
        <v>Mon</v>
      </c>
      <c r="G10" s="4" t="s">
        <v>67</v>
      </c>
    </row>
    <row r="11" spans="1:7" ht="15" customHeight="1" x14ac:dyDescent="0.4">
      <c r="A11" t="s">
        <v>153</v>
      </c>
      <c r="B11" t="s">
        <v>33</v>
      </c>
      <c r="C11" s="13"/>
      <c r="D11" t="s">
        <v>33</v>
      </c>
      <c r="E11" s="5">
        <v>42920</v>
      </c>
      <c r="F11" s="6" t="str">
        <f t="shared" si="0"/>
        <v>Tue</v>
      </c>
      <c r="G11" s="4" t="s">
        <v>22</v>
      </c>
    </row>
    <row r="12" spans="1:7" ht="15" customHeight="1" x14ac:dyDescent="0.4">
      <c r="A12" t="s">
        <v>154</v>
      </c>
      <c r="B12" t="s">
        <v>33</v>
      </c>
      <c r="C12" s="13"/>
      <c r="D12" t="s">
        <v>33</v>
      </c>
      <c r="E12" s="5">
        <v>42982</v>
      </c>
      <c r="F12" s="6" t="str">
        <f t="shared" si="0"/>
        <v>Mon</v>
      </c>
      <c r="G12" s="4" t="s">
        <v>23</v>
      </c>
    </row>
    <row r="13" spans="1:7" ht="15" customHeight="1" x14ac:dyDescent="0.4">
      <c r="A13" t="s">
        <v>155</v>
      </c>
      <c r="B13" t="s">
        <v>33</v>
      </c>
      <c r="C13" s="13"/>
      <c r="D13" t="s">
        <v>33</v>
      </c>
      <c r="E13" s="5">
        <v>43062</v>
      </c>
      <c r="F13" s="6" t="str">
        <f t="shared" si="0"/>
        <v>Thu</v>
      </c>
      <c r="G13" s="4" t="s">
        <v>25</v>
      </c>
    </row>
    <row r="14" spans="1:7" ht="15" customHeight="1" x14ac:dyDescent="0.4">
      <c r="A14" t="s">
        <v>156</v>
      </c>
      <c r="B14" t="s">
        <v>33</v>
      </c>
      <c r="C14" s="13"/>
      <c r="D14" t="s">
        <v>33</v>
      </c>
      <c r="E14" s="5">
        <v>43063</v>
      </c>
      <c r="F14" s="6" t="str">
        <f t="shared" si="0"/>
        <v>Fri</v>
      </c>
      <c r="G14" s="4" t="s">
        <v>26</v>
      </c>
    </row>
    <row r="15" spans="1:7" ht="15" customHeight="1" x14ac:dyDescent="0.4">
      <c r="A15" t="s">
        <v>157</v>
      </c>
      <c r="B15" t="s">
        <v>33</v>
      </c>
      <c r="C15" s="13"/>
      <c r="D15" t="s">
        <v>33</v>
      </c>
      <c r="E15" s="5">
        <v>43094</v>
      </c>
      <c r="F15" s="6" t="str">
        <f t="shared" si="0"/>
        <v>Mon</v>
      </c>
      <c r="G15" s="4" t="s">
        <v>27</v>
      </c>
    </row>
    <row r="16" spans="1:7" ht="15" customHeight="1" x14ac:dyDescent="0.4">
      <c r="A16" t="s">
        <v>158</v>
      </c>
      <c r="B16" t="s">
        <v>55</v>
      </c>
      <c r="C16" s="13"/>
      <c r="D16" t="s">
        <v>33</v>
      </c>
      <c r="E16" s="5">
        <v>43094</v>
      </c>
      <c r="F16" s="6" t="str">
        <f t="shared" si="0"/>
        <v>Mon</v>
      </c>
      <c r="G16" s="4" t="s">
        <v>29</v>
      </c>
    </row>
    <row r="17" spans="1:7" ht="15" customHeight="1" x14ac:dyDescent="0.4">
      <c r="A17" t="s">
        <v>159</v>
      </c>
      <c r="B17" t="s">
        <v>55</v>
      </c>
      <c r="C17" s="13"/>
      <c r="D17" s="1" t="s">
        <v>55</v>
      </c>
      <c r="E17" s="5">
        <v>42736</v>
      </c>
      <c r="F17" s="1" t="s">
        <v>0</v>
      </c>
      <c r="G17" s="1" t="s">
        <v>17</v>
      </c>
    </row>
    <row r="18" spans="1:7" ht="15" customHeight="1" x14ac:dyDescent="0.4">
      <c r="A18" t="s">
        <v>160</v>
      </c>
      <c r="B18" t="s">
        <v>55</v>
      </c>
      <c r="C18" s="13"/>
      <c r="D18" s="1" t="s">
        <v>55</v>
      </c>
      <c r="E18" s="5">
        <v>42761</v>
      </c>
      <c r="F18" s="1" t="s">
        <v>24</v>
      </c>
      <c r="G18" s="1" t="s">
        <v>56</v>
      </c>
    </row>
    <row r="19" spans="1:7" ht="15" customHeight="1" x14ac:dyDescent="0.4">
      <c r="A19" t="s">
        <v>161</v>
      </c>
      <c r="B19" t="s">
        <v>55</v>
      </c>
      <c r="C19" s="13"/>
      <c r="D19" s="1" t="s">
        <v>55</v>
      </c>
      <c r="E19" s="5">
        <v>42823</v>
      </c>
      <c r="F19" s="1" t="s">
        <v>2</v>
      </c>
      <c r="G19" s="1" t="s">
        <v>57</v>
      </c>
    </row>
    <row r="20" spans="1:7" ht="15" customHeight="1" x14ac:dyDescent="0.4">
      <c r="A20" t="s">
        <v>162</v>
      </c>
      <c r="B20" t="s">
        <v>55</v>
      </c>
      <c r="C20" s="13"/>
      <c r="D20" s="1" t="s">
        <v>55</v>
      </c>
      <c r="E20" s="5">
        <v>42856</v>
      </c>
      <c r="F20" s="1" t="s">
        <v>1</v>
      </c>
      <c r="G20" s="1" t="s">
        <v>58</v>
      </c>
    </row>
    <row r="21" spans="1:7" ht="15" customHeight="1" x14ac:dyDescent="0.4">
      <c r="A21" t="s">
        <v>163</v>
      </c>
      <c r="B21" t="s">
        <v>55</v>
      </c>
      <c r="C21" s="13"/>
      <c r="D21" s="1" t="s">
        <v>55</v>
      </c>
      <c r="E21" s="5">
        <v>42912</v>
      </c>
      <c r="F21" s="1" t="s">
        <v>1</v>
      </c>
      <c r="G21" s="1" t="s">
        <v>59</v>
      </c>
    </row>
    <row r="22" spans="1:7" ht="15" customHeight="1" x14ac:dyDescent="0.4">
      <c r="A22" t="s">
        <v>164</v>
      </c>
      <c r="B22" t="s">
        <v>55</v>
      </c>
      <c r="C22" s="13"/>
      <c r="D22" s="1" t="s">
        <v>55</v>
      </c>
      <c r="E22" s="5">
        <v>42962</v>
      </c>
      <c r="F22" s="1" t="s">
        <v>21</v>
      </c>
      <c r="G22" s="1" t="s">
        <v>22</v>
      </c>
    </row>
    <row r="23" spans="1:7" ht="15" customHeight="1" x14ac:dyDescent="0.4">
      <c r="A23" t="s">
        <v>165</v>
      </c>
      <c r="B23" t="s">
        <v>55</v>
      </c>
      <c r="C23" s="13"/>
      <c r="D23" s="1" t="s">
        <v>55</v>
      </c>
      <c r="E23" s="5">
        <v>43007</v>
      </c>
      <c r="F23" s="1" t="s">
        <v>3</v>
      </c>
      <c r="G23" s="1" t="s">
        <v>60</v>
      </c>
    </row>
    <row r="24" spans="1:7" ht="15" customHeight="1" x14ac:dyDescent="0.4">
      <c r="A24" t="s">
        <v>166</v>
      </c>
      <c r="B24" t="s">
        <v>55</v>
      </c>
      <c r="C24" s="13"/>
      <c r="D24" s="1" t="s">
        <v>55</v>
      </c>
      <c r="E24" s="5">
        <v>43010</v>
      </c>
      <c r="F24" s="1" t="s">
        <v>1</v>
      </c>
      <c r="G24" s="1" t="s">
        <v>61</v>
      </c>
    </row>
    <row r="25" spans="1:7" ht="15" customHeight="1" x14ac:dyDescent="0.4">
      <c r="D25" s="1" t="s">
        <v>55</v>
      </c>
      <c r="E25" s="5">
        <v>43028</v>
      </c>
      <c r="F25" s="1" t="s">
        <v>3</v>
      </c>
      <c r="G25" s="1" t="s">
        <v>62</v>
      </c>
    </row>
    <row r="26" spans="1:7" ht="15" customHeight="1" x14ac:dyDescent="0.4">
      <c r="D26" s="1" t="s">
        <v>55</v>
      </c>
      <c r="E26" s="5">
        <v>43040</v>
      </c>
      <c r="F26" s="1" t="s">
        <v>2</v>
      </c>
      <c r="G26" s="1" t="s">
        <v>63</v>
      </c>
    </row>
    <row r="27" spans="1:7" ht="15" customHeight="1" x14ac:dyDescent="0.4">
      <c r="D27" s="1" t="s">
        <v>55</v>
      </c>
      <c r="E27" s="5">
        <v>43094</v>
      </c>
      <c r="F27" s="1" t="s">
        <v>1</v>
      </c>
      <c r="G27" s="1" t="s">
        <v>64</v>
      </c>
    </row>
  </sheetData>
  <sortState xmlns:xlrd2="http://schemas.microsoft.com/office/spreadsheetml/2017/richdata2" ref="D2:G27">
    <sortCondition descending="1" ref="D2:D27"/>
    <sortCondition ref="E2:E27"/>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xml version="1.0" encoding="utf-8"?>
<p:properties xmlns:p="http://schemas.microsoft.com/office/2006/metadata/properties" xmlns:xsi="http://www.w3.org/2001/XMLSchema-instance" xmlns:pc="http://schemas.microsoft.com/office/infopath/2007/PartnerControls">
  <documentManagement/>
</p:properties>
</file>

<file path=customXml/item8.xml><?xml version="1.0" encoding="utf-8"?>
<ct:contentTypeSchema xmlns:ct="http://schemas.microsoft.com/office/2006/metadata/contentType" xmlns:ma="http://schemas.microsoft.com/office/2006/metadata/properties/metaAttributes" ct:_="" ma:_="" ma:contentTypeName="Document" ma:contentTypeID="0x01010018FE8EF7DB7367409B516E0C03E6F061" ma:contentTypeVersion="8" ma:contentTypeDescription="Create a new document." ma:contentTypeScope="" ma:versionID="d7e947617d86ba01283cdd2ed57298ab">
  <xsd:schema xmlns:xsd="http://www.w3.org/2001/XMLSchema" xmlns:xs="http://www.w3.org/2001/XMLSchema" xmlns:p="http://schemas.microsoft.com/office/2006/metadata/properties" xmlns:ns2="99115ff6-7b6f-4cb6-bc68-e00a308f2d2d" xmlns:ns3="ed212457-9cd2-470a-9fa1-dc03c2f16d1b" targetNamespace="http://schemas.microsoft.com/office/2006/metadata/properties" ma:root="true" ma:fieldsID="28ca8ab3ef05577ae7cabff00ce273d4" ns2:_="" ns3:_="">
    <xsd:import namespace="99115ff6-7b6f-4cb6-bc68-e00a308f2d2d"/>
    <xsd:import namespace="ed212457-9cd2-470a-9fa1-dc03c2f16d1b"/>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9115ff6-7b6f-4cb6-bc68-e00a308f2d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d212457-9cd2-470a-9fa1-dc03c2f16d1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45B69697-7F47-4BCC-8F9C-00D66025D868}">
  <ds:schemaRefs/>
</ds:datastoreItem>
</file>

<file path=customXml/itemProps2.xml><?xml version="1.0" encoding="utf-8"?>
<ds:datastoreItem xmlns:ds="http://schemas.openxmlformats.org/officeDocument/2006/customXml" ds:itemID="{C5D02016-79FD-4323-B361-05EF2AC12C0E}">
  <ds:schemaRefs/>
</ds:datastoreItem>
</file>

<file path=customXml/itemProps3.xml><?xml version="1.0" encoding="utf-8"?>
<ds:datastoreItem xmlns:ds="http://schemas.openxmlformats.org/officeDocument/2006/customXml" ds:itemID="{CE343C0A-AFB0-493D-B170-28B1FA40FFD8}">
  <ds:schemaRefs/>
</ds:datastoreItem>
</file>

<file path=customXml/itemProps4.xml><?xml version="1.0" encoding="utf-8"?>
<ds:datastoreItem xmlns:ds="http://schemas.openxmlformats.org/officeDocument/2006/customXml" ds:itemID="{020419A5-63E0-4CA6-9218-186A7CDF40F2}">
  <ds:schemaRefs>
    <ds:schemaRef ds:uri="http://schemas.microsoft.com/sharepoint/v3/contenttype/forms"/>
  </ds:schemaRefs>
</ds:datastoreItem>
</file>

<file path=customXml/itemProps5.xml><?xml version="1.0" encoding="utf-8"?>
<ds:datastoreItem xmlns:ds="http://schemas.openxmlformats.org/officeDocument/2006/customXml" ds:itemID="{B3AFD167-5DEE-48EF-81BE-4CF47504DF29}">
  <ds:schemaRefs/>
</ds:datastoreItem>
</file>

<file path=customXml/itemProps6.xml><?xml version="1.0" encoding="utf-8"?>
<ds:datastoreItem xmlns:ds="http://schemas.openxmlformats.org/officeDocument/2006/customXml" ds:itemID="{071DEC53-20E9-450E-A68F-82677040CC1A}">
  <ds:schemaRefs/>
</ds:datastoreItem>
</file>

<file path=customXml/itemProps7.xml><?xml version="1.0" encoding="utf-8"?>
<ds:datastoreItem xmlns:ds="http://schemas.openxmlformats.org/officeDocument/2006/customXml" ds:itemID="{808FEFD3-09BF-4449-8E01-3621B401E01C}">
  <ds:schemaRefs>
    <ds:schemaRef ds:uri="99115ff6-7b6f-4cb6-bc68-e00a308f2d2d"/>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ed212457-9cd2-470a-9fa1-dc03c2f16d1b"/>
    <ds:schemaRef ds:uri="http://schemas.microsoft.com/office/2006/metadata/properties"/>
    <ds:schemaRef ds:uri="http://purl.org/dc/terms/"/>
    <ds:schemaRef ds:uri="http://www.w3.org/XML/1998/namespace"/>
    <ds:schemaRef ds:uri="http://purl.org/dc/dcmitype/"/>
  </ds:schemaRefs>
</ds:datastoreItem>
</file>

<file path=customXml/itemProps8.xml><?xml version="1.0" encoding="utf-8"?>
<ds:datastoreItem xmlns:ds="http://schemas.openxmlformats.org/officeDocument/2006/customXml" ds:itemID="{555A57AB-2298-448B-87B7-785DD46B9F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9115ff6-7b6f-4cb6-bc68-e00a308f2d2d"/>
    <ds:schemaRef ds:uri="ed212457-9cd2-470a-9fa1-dc03c2f16d1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C113312B-078B-4C13-915E-51C79887C91E}">
  <ds:schemaRefs/>
</ds:datastoreItem>
</file>

<file path=customXml/itemProps10.xml><?xml version="1.0" encoding="utf-8"?>
<ds:datastoreItem xmlns:ds="http://schemas.openxmlformats.org/officeDocument/2006/customXml" ds:itemID="{6AC8CB21-89CD-4BF2-96AC-5714AC1FD565}">
  <ds:schemaRefs/>
</ds:datastoreItem>
</file>

<file path=customXml/itemProps11.xml><?xml version="1.0" encoding="utf-8"?>
<ds:datastoreItem xmlns:ds="http://schemas.openxmlformats.org/officeDocument/2006/customXml" ds:itemID="{DE949685-4DF3-42F5-88CE-3A79191BC44F}">
  <ds:schemaRefs/>
</ds:datastoreItem>
</file>

<file path=customXml/itemProps12.xml><?xml version="1.0" encoding="utf-8"?>
<ds:datastoreItem xmlns:ds="http://schemas.openxmlformats.org/officeDocument/2006/customXml" ds:itemID="{D43ABD4B-3580-439B-9E2D-19FC977C4155}">
  <ds:schemaRefs/>
</ds:datastoreItem>
</file>

<file path=customXml/itemProps13.xml><?xml version="1.0" encoding="utf-8"?>
<ds:datastoreItem xmlns:ds="http://schemas.openxmlformats.org/officeDocument/2006/customXml" ds:itemID="{8865556E-F584-4BA5-A7CD-D6DDA4D81739}">
  <ds:schemaRefs/>
</ds:datastoreItem>
</file>

<file path=customXml/itemProps14.xml><?xml version="1.0" encoding="utf-8"?>
<ds:datastoreItem xmlns:ds="http://schemas.openxmlformats.org/officeDocument/2006/customXml" ds:itemID="{B1BDEF97-B1AC-4C53-8E57-4A21AA86DA3B}">
  <ds:schemaRefs>
    <ds:schemaRef ds:uri="http://schemas.microsoft.com/DataMashup"/>
  </ds:schemaRefs>
</ds:datastoreItem>
</file>

<file path=customXml/itemProps15.xml><?xml version="1.0" encoding="utf-8"?>
<ds:datastoreItem xmlns:ds="http://schemas.openxmlformats.org/officeDocument/2006/customXml" ds:itemID="{355DA70E-DCA5-44C8-9023-C36F21EF7C8C}">
  <ds:schemaRefs/>
</ds:datastoreItem>
</file>

<file path=customXml/itemProps16.xml><?xml version="1.0" encoding="utf-8"?>
<ds:datastoreItem xmlns:ds="http://schemas.openxmlformats.org/officeDocument/2006/customXml" ds:itemID="{C8E1C829-632D-4EEF-92A0-573C0D4F628E}">
  <ds:schemaRefs/>
</ds:datastoreItem>
</file>

<file path=customXml/itemProps17.xml><?xml version="1.0" encoding="utf-8"?>
<ds:datastoreItem xmlns:ds="http://schemas.openxmlformats.org/officeDocument/2006/customXml" ds:itemID="{0C22DC9B-DBA3-47BC-869D-98C8888F7701}">
  <ds:schemaRefs/>
</ds:datastoreItem>
</file>

<file path=customXml/itemProps18.xml><?xml version="1.0" encoding="utf-8"?>
<ds:datastoreItem xmlns:ds="http://schemas.openxmlformats.org/officeDocument/2006/customXml" ds:itemID="{E936369B-3F57-4EEC-9AD7-CD6AC921A7F5}">
  <ds:schemaRefs/>
</ds:datastoreItem>
</file>

<file path=customXml/itemProps19.xml><?xml version="1.0" encoding="utf-8"?>
<ds:datastoreItem xmlns:ds="http://schemas.openxmlformats.org/officeDocument/2006/customXml" ds:itemID="{97E0544C-B115-4EB7-8233-42C213B58144}">
  <ds:schemaRefs/>
</ds:datastoreItem>
</file>

<file path=customXml/itemProps20.xml><?xml version="1.0" encoding="utf-8"?>
<ds:datastoreItem xmlns:ds="http://schemas.openxmlformats.org/officeDocument/2006/customXml" ds:itemID="{DE9A5285-C3EE-4092-B2ED-83BDE22CDF19}">
  <ds:schemaRefs/>
</ds:datastoreItem>
</file>

<file path=customXml/itemProps21.xml><?xml version="1.0" encoding="utf-8"?>
<ds:datastoreItem xmlns:ds="http://schemas.openxmlformats.org/officeDocument/2006/customXml" ds:itemID="{A0DFBA06-CB57-4085-B431-DA09DE327ADF}">
  <ds:schemaRefs/>
</ds:datastoreItem>
</file>

<file path=customXml/itemProps22.xml><?xml version="1.0" encoding="utf-8"?>
<ds:datastoreItem xmlns:ds="http://schemas.openxmlformats.org/officeDocument/2006/customXml" ds:itemID="{117A7BF2-5228-4E52-8FAE-3A986EB02B9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Calendar Dashboard</vt:lpstr>
      <vt:lpstr>Formula Breakdown</vt:lpstr>
      <vt:lpstr>Macros</vt:lpstr>
      <vt:lpstr>Final</vt:lpstr>
      <vt:lpstr>Formula</vt:lpstr>
      <vt:lpstr>Holiday (Dates to Exclude)</vt:lpstr>
      <vt:lpstr>holi</vt:lpstr>
      <vt:lpstr>holiday</vt:lpstr>
      <vt:lpstr>off</vt:lpstr>
      <vt:lpstr>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Kim, Carrie</dc:creator>
  <cp:lastModifiedBy>Reuben</cp:lastModifiedBy>
  <cp:lastPrinted>2017-08-28T21:02:28Z</cp:lastPrinted>
  <dcterms:created xsi:type="dcterms:W3CDTF">2016-11-28T19:03:13Z</dcterms:created>
  <dcterms:modified xsi:type="dcterms:W3CDTF">2019-06-09T09:26:57Z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5cccca90-6b51-4114-9098-8cf70f600fa9</vt:lpwstr>
  </property>
  <property fmtid="{D5CDD505-2E9C-101B-9397-08002B2CF9AE}" pid="3" name="ContentTypeId">
    <vt:lpwstr>0x01010018FE8EF7DB7367409B516E0C03E6F061</vt:lpwstr>
  </property>
  <property fmtid="{D5CDD505-2E9C-101B-9397-08002B2CF9AE}" pid="4" name="AuthorIds_UIVersion_2560">
    <vt:lpwstr>48</vt:lpwstr>
  </property>
</Properties>
</file>